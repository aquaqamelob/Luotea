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sky-my.sharepoint.com/personal/matias_riihiaho_luotea_com/Documents/Työpöytä/Hackathon aineisto/need-based cleaning/"/>
    </mc:Choice>
  </mc:AlternateContent>
  <xr:revisionPtr revIDLastSave="54" documentId="8_{2A16174B-82F8-481C-BF3D-A4A68CFB3D59}" xr6:coauthVersionLast="47" xr6:coauthVersionMax="47" xr10:uidLastSave="{72F75CA4-C996-48FA-9273-8BD4B7EAEFA5}"/>
  <bookViews>
    <workbookView xWindow="-120" yWindow="-120" windowWidth="29040" windowHeight="15720" xr2:uid="{62CCB1B4-D8EF-4F25-9F9F-C6B2D0C81440}"/>
  </bookViews>
  <sheets>
    <sheet name="Data" sheetId="2" r:id="rId1"/>
    <sheet name="Laitetyypit" sheetId="3" r:id="rId2"/>
  </sheets>
  <definedNames>
    <definedName name="_xlnm._FilterDatabase" localSheetId="0" hidden="1">Data!$A$1:$X$1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0" i="2" l="1"/>
  <c r="E387" i="2"/>
  <c r="E388" i="2"/>
  <c r="E389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86" i="2"/>
</calcChain>
</file>

<file path=xl/sharedStrings.xml><?xml version="1.0" encoding="utf-8"?>
<sst xmlns="http://schemas.openxmlformats.org/spreadsheetml/2006/main" count="4303" uniqueCount="839">
  <si>
    <t>last_communication_time</t>
  </si>
  <si>
    <t>assets using this sensor</t>
  </si>
  <si>
    <t>battery level</t>
  </si>
  <si>
    <t>occupancy</t>
  </si>
  <si>
    <t>TSPR04TC121008300</t>
  </si>
  <si>
    <t>TSPR04TC121008232</t>
  </si>
  <si>
    <t>TSPR04TC121009092</t>
  </si>
  <si>
    <t>TSPR04TC121005721</t>
  </si>
  <si>
    <t>TSPR04TC121008231</t>
  </si>
  <si>
    <t>TSPR04TC121008328</t>
  </si>
  <si>
    <t>TSPR04TC121008140</t>
  </si>
  <si>
    <t>TSPR04TC121008241</t>
  </si>
  <si>
    <t>TSPR04TC121008464</t>
  </si>
  <si>
    <t>TSPR04TC121005544</t>
  </si>
  <si>
    <t>TSPR04TC121008217</t>
  </si>
  <si>
    <t>TSPR04TC121009049</t>
  </si>
  <si>
    <t>TSPR04TC121009018</t>
  </si>
  <si>
    <t>TSPR04TC121008157</t>
  </si>
  <si>
    <t>TSPR04TC121008520</t>
  </si>
  <si>
    <t>TSPR04TC121008959</t>
  </si>
  <si>
    <t>TSPR04TC121008325</t>
  </si>
  <si>
    <t>TSPR04TC121009095</t>
  </si>
  <si>
    <t>TSPR04TC121009081</t>
  </si>
  <si>
    <t>TSPR04TC121008463</t>
  </si>
  <si>
    <t>TSPR04TC121008284</t>
  </si>
  <si>
    <t>TSPR04TC121009006</t>
  </si>
  <si>
    <t>TSPR04TC121008271</t>
  </si>
  <si>
    <t>TSPR04TC121008426</t>
  </si>
  <si>
    <t>TSPR04TC121008548</t>
  </si>
  <si>
    <t>TSPR04TC121008511</t>
  </si>
  <si>
    <t>TSPR04TC121009050</t>
  </si>
  <si>
    <t>TSPR04TC121008373</t>
  </si>
  <si>
    <t>TSPR04TC121008501</t>
  </si>
  <si>
    <t>TSPR04TC121009038</t>
  </si>
  <si>
    <t>TSPR04TC121008223</t>
  </si>
  <si>
    <t>TSPR04TC121008529</t>
  </si>
  <si>
    <t>TSPR04TC121008390</t>
  </si>
  <si>
    <t>TSPR04TC121008534</t>
  </si>
  <si>
    <t>TSPR04TC121009030</t>
  </si>
  <si>
    <t>TSPR04TC121008376</t>
  </si>
  <si>
    <t>TSPR04TC121008398</t>
  </si>
  <si>
    <t>TSPR04TC121009087</t>
  </si>
  <si>
    <t>TSPR04TC121008484</t>
  </si>
  <si>
    <t>TSPR04TC121008384</t>
  </si>
  <si>
    <t>TSPR04TC121008956</t>
  </si>
  <si>
    <t>TSPR04TC121008193</t>
  </si>
  <si>
    <t>TSPR04TC121008364</t>
  </si>
  <si>
    <t>TSPR04TC121008267</t>
  </si>
  <si>
    <t>TSPR04TC121009075</t>
  </si>
  <si>
    <t>TSPR04TC121008183</t>
  </si>
  <si>
    <t>TSPR04TC121008528</t>
  </si>
  <si>
    <t>TSPR04TC121008139</t>
  </si>
  <si>
    <t>TSPR04TC121008163</t>
  </si>
  <si>
    <t>TSPR04TC121008987</t>
  </si>
  <si>
    <t>TSPR04TC121009054</t>
  </si>
  <si>
    <t>TSPR04TC121009076</t>
  </si>
  <si>
    <t>TSPR04TC121008377</t>
  </si>
  <si>
    <t>TSPR04TC121008155</t>
  </si>
  <si>
    <t>TSPR04TC121008138</t>
  </si>
  <si>
    <t>TSPR04TC121009074</t>
  </si>
  <si>
    <t>TSPR04TC121008476</t>
  </si>
  <si>
    <t>TSPR04TC121008547</t>
  </si>
  <si>
    <t>TSPR04TC121008978</t>
  </si>
  <si>
    <t>TSPR04TC121008506</t>
  </si>
  <si>
    <t>TSPR04TC121008465</t>
  </si>
  <si>
    <t>TSPR04TC121005709</t>
  </si>
  <si>
    <t>TSPR04TC121008505</t>
  </si>
  <si>
    <t>TSPR04TC121008234</t>
  </si>
  <si>
    <t>TSPR04TC121008427</t>
  </si>
  <si>
    <t>TSPR04TC121008257</t>
  </si>
  <si>
    <t>TSPR04TC121008362</t>
  </si>
  <si>
    <t>TSPR04TC121008549</t>
  </si>
  <si>
    <t>TSPR04TC121009059</t>
  </si>
  <si>
    <t>TSPR04TC121008553</t>
  </si>
  <si>
    <t>TSPR04TC121009080</t>
  </si>
  <si>
    <t>TSPR04TC121008491</t>
  </si>
  <si>
    <t>TSPR04TC121005537</t>
  </si>
  <si>
    <t>TSPR04TC121009063</t>
  </si>
  <si>
    <t>TSPR04TC121009064</t>
  </si>
  <si>
    <t>TSPR04TC121008527</t>
  </si>
  <si>
    <t>TSPR04TC121008343</t>
  </si>
  <si>
    <t>TSPR04TC121008372</t>
  </si>
  <si>
    <t>TSPR04TC121009012</t>
  </si>
  <si>
    <t>TSPR04TC121008174</t>
  </si>
  <si>
    <t>TSPR04TC121008315</t>
  </si>
  <si>
    <t>TSPR04TC121008371</t>
  </si>
  <si>
    <t>TSPR04TC121009047</t>
  </si>
  <si>
    <t>TSPR04TC121008495</t>
  </si>
  <si>
    <t>TSPR04TC121008203</t>
  </si>
  <si>
    <t>TSPR04TC121008971</t>
  </si>
  <si>
    <t>TSPR04TC121009136</t>
  </si>
  <si>
    <t>TSPR04TC121008210</t>
  </si>
  <si>
    <t>TSPR04TC121009086</t>
  </si>
  <si>
    <t>TSPR04TC121008147</t>
  </si>
  <si>
    <t>TSPR04TC121008329</t>
  </si>
  <si>
    <t>TSPR04TC121009079</t>
  </si>
  <si>
    <t>TSPR04TC121008190</t>
  </si>
  <si>
    <t>TSPR04TC121008196</t>
  </si>
  <si>
    <t>TSPR04TC121008458</t>
  </si>
  <si>
    <t>TSPR04TC121009033</t>
  </si>
  <si>
    <t>TSPR04TC121009022</t>
  </si>
  <si>
    <t>TSPR04TC121008213</t>
  </si>
  <si>
    <t>TSPR04TC121008502</t>
  </si>
  <si>
    <t>TSPR04TC121008546</t>
  </si>
  <si>
    <t>TSPR04TC121008172</t>
  </si>
  <si>
    <t>TSPR04TC121008253</t>
  </si>
  <si>
    <t>TSPR04TC121008161</t>
  </si>
  <si>
    <t>TSPR04TC121008153</t>
  </si>
  <si>
    <t>TSPR04TC121008477</t>
  </si>
  <si>
    <t>TSPR04TC121008402</t>
  </si>
  <si>
    <t>TSPR04TC121008187</t>
  </si>
  <si>
    <t>TSPR04TC121009135</t>
  </si>
  <si>
    <t>TSPR04TC121008148</t>
  </si>
  <si>
    <t>TSPR04TC121008519</t>
  </si>
  <si>
    <t>TSPR04TC121009077</t>
  </si>
  <si>
    <t>TSPR04TC121008154</t>
  </si>
  <si>
    <t>TSPR04TC121008483</t>
  </si>
  <si>
    <t>TSPR04TC121008513</t>
  </si>
  <si>
    <t>TSPR04TC121008425</t>
  </si>
  <si>
    <t>TSPR04TC121009044</t>
  </si>
  <si>
    <t>TSPR04TC121009034</t>
  </si>
  <si>
    <t>TSPR04TC121008953</t>
  </si>
  <si>
    <t>TSPR04TC121009068</t>
  </si>
  <si>
    <t>TSPR04TC121008962</t>
  </si>
  <si>
    <t>TSPR04TC121009078</t>
  </si>
  <si>
    <t>TSPR04TC121008437</t>
  </si>
  <si>
    <t>TSPR04TC121008212</t>
  </si>
  <si>
    <t>TSPR04TC121008550</t>
  </si>
  <si>
    <t>TSPR04TC121008481</t>
  </si>
  <si>
    <t>TSPR04TC121008976</t>
  </si>
  <si>
    <t>TSPR04TC121008244</t>
  </si>
  <si>
    <t>TSPR04TC121008468</t>
  </si>
  <si>
    <t>TSPR04TC121008423</t>
  </si>
  <si>
    <t>TSPR04TC121008230</t>
  </si>
  <si>
    <t>TSPR04TC121008968</t>
  </si>
  <si>
    <t>TSPR04TC121008351</t>
  </si>
  <si>
    <t>TSPR04TC121008175</t>
  </si>
  <si>
    <t>TSPR04TC121008151</t>
  </si>
  <si>
    <t>TSPR04TC121009027</t>
  </si>
  <si>
    <t>TSPR04TC121008173</t>
  </si>
  <si>
    <t>TSPR04TC121008447</t>
  </si>
  <si>
    <t>TSPR04TC121008493</t>
  </si>
  <si>
    <t>TSPR04TC121008413</t>
  </si>
  <si>
    <t>TSPR04TC121009042</t>
  </si>
  <si>
    <t>TSPR04TC121009091</t>
  </si>
  <si>
    <t>TSPR04TC121008530</t>
  </si>
  <si>
    <t>TSPR04TC121008204</t>
  </si>
  <si>
    <t>TSPR04TC121009010</t>
  </si>
  <si>
    <t>TSPR04TC121008540</t>
  </si>
  <si>
    <t>TSPR04TC121008216</t>
  </si>
  <si>
    <t>TSPR04TC121008499</t>
  </si>
  <si>
    <t>TSPR04TC121008405</t>
  </si>
  <si>
    <t>TSPR04TC121005706</t>
  </si>
  <si>
    <t>TSPR04TC121009085</t>
  </si>
  <si>
    <t>TSPR04TC121008149</t>
  </si>
  <si>
    <t>TSPR04TC121008498</t>
  </si>
  <si>
    <t>TSPR04TC121008967</t>
  </si>
  <si>
    <t>TSPR04TC121008455</t>
  </si>
  <si>
    <t>TSPR04TC121008262</t>
  </si>
  <si>
    <t>TSPR04TC121008479</t>
  </si>
  <si>
    <t>TSPR04TC121008303</t>
  </si>
  <si>
    <t>TSPR04TC121008185</t>
  </si>
  <si>
    <t>TSPR04TC121008150</t>
  </si>
  <si>
    <t>TSPR04TC121008220</t>
  </si>
  <si>
    <t>TSPR04TC121008396</t>
  </si>
  <si>
    <t>TSPR04TC121008537</t>
  </si>
  <si>
    <t>TSPR04TC121008206</t>
  </si>
  <si>
    <t>TSPR04TC121008442</t>
  </si>
  <si>
    <t>TSPR04TC121008197</t>
  </si>
  <si>
    <t>TSPR04TC121009070</t>
  </si>
  <si>
    <t>TSPR04TC121009142</t>
  </si>
  <si>
    <t>TSPR04TC121008235</t>
  </si>
  <si>
    <t>TSPR04TC121008433</t>
  </si>
  <si>
    <t>TSPR04TC121008288</t>
  </si>
  <si>
    <t>TSPR04TC121009088</t>
  </si>
  <si>
    <t>TSPR04TC121008279</t>
  </si>
  <si>
    <t>TSPR04TC121008199</t>
  </si>
  <si>
    <t>TSPR04TC121008202</t>
  </si>
  <si>
    <t>TSPR04TC121009138</t>
  </si>
  <si>
    <t>TSPR04TC121008273</t>
  </si>
  <si>
    <t>TSPR04TC121008215</t>
  </si>
  <si>
    <t>TSPR04TC121008478</t>
  </si>
  <si>
    <t>TSPR04TC121008211</t>
  </si>
  <si>
    <t>TSPR04TC121008482</t>
  </si>
  <si>
    <t>TSPR04TC121009065</t>
  </si>
  <si>
    <t>TSPR04TC121008451</t>
  </si>
  <si>
    <t>TSPR04TC121008269</t>
  </si>
  <si>
    <t>TSPR04TC121009051</t>
  </si>
  <si>
    <t>TSPR04TC121008378</t>
  </si>
  <si>
    <t>TSPR04TC121008955</t>
  </si>
  <si>
    <t>TSPR04TC121008228</t>
  </si>
  <si>
    <t>TSPR04TC121008198</t>
  </si>
  <si>
    <t>TSPR04TC121009011</t>
  </si>
  <si>
    <t>TSPR04TC121008320</t>
  </si>
  <si>
    <t>TSPR04TC121008237</t>
  </si>
  <si>
    <t>TSPR04TC121008168</t>
  </si>
  <si>
    <t>TSPR04TC121008184</t>
  </si>
  <si>
    <t>TSPR04TC121008525</t>
  </si>
  <si>
    <t>TSPR04TC121008191</t>
  </si>
  <si>
    <t>TSPR04TC121008200</t>
  </si>
  <si>
    <t>TSPR04TC121008535</t>
  </si>
  <si>
    <t>TSPR04TC121008337</t>
  </si>
  <si>
    <t>TSPR04TC121008207</t>
  </si>
  <si>
    <t>TSPR04TC121009139</t>
  </si>
  <si>
    <t>TSPR04TC121008457</t>
  </si>
  <si>
    <t>TSPR04TC121008322</t>
  </si>
  <si>
    <t>TSPR04TC121008178</t>
  </si>
  <si>
    <t>TSPR04TC121008209</t>
  </si>
  <si>
    <t>TSPR04TC121008169</t>
  </si>
  <si>
    <t>TSPR04TC121008152</t>
  </si>
  <si>
    <t>TSPR04TC121008180</t>
  </si>
  <si>
    <t>TSPR04TC121008170</t>
  </si>
  <si>
    <t>TSPR04TC121008159</t>
  </si>
  <si>
    <t>distance</t>
  </si>
  <si>
    <t>TSTF04EWL11500905</t>
  </si>
  <si>
    <t>TSTF04EWL11500766</t>
  </si>
  <si>
    <t>TSTF04EWL11500847</t>
  </si>
  <si>
    <t>TSTF04EWL11500975</t>
  </si>
  <si>
    <t>TSTF04EWL11500929</t>
  </si>
  <si>
    <t>TSTF04EWL11500771</t>
  </si>
  <si>
    <t>TSTF04EWL11500836</t>
  </si>
  <si>
    <t>TSTF04EWL11500904</t>
  </si>
  <si>
    <t>TSTF04EWL11500765</t>
  </si>
  <si>
    <t>TSTF04EWL11500821</t>
  </si>
  <si>
    <t>TSTF04EWL11500826</t>
  </si>
  <si>
    <t>TSTF04EWL11500834</t>
  </si>
  <si>
    <t>TSTF04EWL11500978</t>
  </si>
  <si>
    <t>TSTF04EWL11500825</t>
  </si>
  <si>
    <t>TSTF04EWL11500827</t>
  </si>
  <si>
    <t>TSTF04EWL11500930</t>
  </si>
  <si>
    <t>TSTF04EWL11500938</t>
  </si>
  <si>
    <t>TSTF04EWL11500940</t>
  </si>
  <si>
    <t>TSTF04EWL11500980</t>
  </si>
  <si>
    <t>TSTF04EWL11500867</t>
  </si>
  <si>
    <t>TSTF04EWL11500948</t>
  </si>
  <si>
    <t>TSTF04EWL11500921</t>
  </si>
  <si>
    <t>TSPR04TC121008360</t>
  </si>
  <si>
    <t>TSPR04TC121008156</t>
  </si>
  <si>
    <t>TSPR04TC121008146</t>
  </si>
  <si>
    <t>TSTF04EWL13200093</t>
  </si>
  <si>
    <t>TSTF04EWL13200064</t>
  </si>
  <si>
    <t>TSTF04EWL13200117</t>
  </si>
  <si>
    <t>TSTF04EWL13200107</t>
  </si>
  <si>
    <t>TSPR04ESH13005026</t>
  </si>
  <si>
    <t>TSPR04TC121005723</t>
  </si>
  <si>
    <t>TSTF04EWL13200136</t>
  </si>
  <si>
    <t>TSTF04EWL13200176</t>
  </si>
  <si>
    <t>TSTF04EWL13200213</t>
  </si>
  <si>
    <t>TSTF04EWL11500900</t>
  </si>
  <si>
    <t>TSTF04EWL11500828</t>
  </si>
  <si>
    <t>TSPR04TC121008462</t>
  </si>
  <si>
    <t>TSPR04TC121008309</t>
  </si>
  <si>
    <t>TSTF04EWL13200259</t>
  </si>
  <si>
    <t>TSTF04EWL13200264</t>
  </si>
  <si>
    <t>TSTF04EWL13200257</t>
  </si>
  <si>
    <t>TSTF04EWL13200138</t>
  </si>
  <si>
    <t>TSTF04EWL13200135</t>
  </si>
  <si>
    <t>TSTF04EWL13200161</t>
  </si>
  <si>
    <t>TSPR04TC121008524</t>
  </si>
  <si>
    <t>TSPR04TC121008229</t>
  </si>
  <si>
    <t>TSTF04EWL11500768</t>
  </si>
  <si>
    <t>TSTF04EWL11500791</t>
  </si>
  <si>
    <t>TSTF04EWL13200130</t>
  </si>
  <si>
    <t>TSTF04EWL13200141</t>
  </si>
  <si>
    <t>TSTF04EWL13200245</t>
  </si>
  <si>
    <t>TSPR04TC121008145</t>
  </si>
  <si>
    <t>TSTF04EWL13200137</t>
  </si>
  <si>
    <t>TSPR04TC121009141</t>
  </si>
  <si>
    <t>TSTF04EWL13200193</t>
  </si>
  <si>
    <t>TSTF04EWL13200131</t>
  </si>
  <si>
    <t>TSTF04EWL13200050</t>
  </si>
  <si>
    <t>TSTF04EWL13200198</t>
  </si>
  <si>
    <t>TSTF04EWL13200163</t>
  </si>
  <si>
    <t>TSTF04EWL13200065</t>
  </si>
  <si>
    <t>TSTF04EWL13200023</t>
  </si>
  <si>
    <t>TSTF04EWL13200021</t>
  </si>
  <si>
    <t>TSPR04TC121008186</t>
  </si>
  <si>
    <t>TSTF04EWL13200078</t>
  </si>
  <si>
    <t>TSPR04TC121008205</t>
  </si>
  <si>
    <t>TSTF04EWL13200032</t>
  </si>
  <si>
    <t>TSTF04EWL13200188</t>
  </si>
  <si>
    <t>TSTF04EWL13200017</t>
  </si>
  <si>
    <t>TSTF04EWL13200040</t>
  </si>
  <si>
    <t>TSTF04EWL13200049</t>
  </si>
  <si>
    <t>TSTF04EWL13200248</t>
  </si>
  <si>
    <t>TSTF04EWL13200187</t>
  </si>
  <si>
    <t>TSTF04EWL13200142</t>
  </si>
  <si>
    <t>TSPR04TC121008227</t>
  </si>
  <si>
    <t>TSPR04TC121008238</t>
  </si>
  <si>
    <t>TSTF04EWL13200153</t>
  </si>
  <si>
    <t>TSTF04EWL13200206</t>
  </si>
  <si>
    <t>TSTF04EWL13200157</t>
  </si>
  <si>
    <t>TSTF04EWL13200158</t>
  </si>
  <si>
    <t>TSTF04EWL13200185</t>
  </si>
  <si>
    <t>TSTF04EWL13200195</t>
  </si>
  <si>
    <t>TSTF04EWL13200190</t>
  </si>
  <si>
    <t>TSTF04EWL13200053</t>
  </si>
  <si>
    <t>TSTF04EWL13200167</t>
  </si>
  <si>
    <t>TSTF04EWL13200068</t>
  </si>
  <si>
    <t>TSTF04EWL13200020</t>
  </si>
  <si>
    <t>TSTF04EWL13200242</t>
  </si>
  <si>
    <t>TSTF04EWL13200246</t>
  </si>
  <si>
    <t>TSTF04EWL13200062</t>
  </si>
  <si>
    <t>TSTF04EWL13200055</t>
  </si>
  <si>
    <t>TSPR04TC121009073</t>
  </si>
  <si>
    <t>TSPR04TC121008164</t>
  </si>
  <si>
    <t>TSPR04TC121008188</t>
  </si>
  <si>
    <t>TSPR04TC121008263</t>
  </si>
  <si>
    <t>TSPR04TC121008182</t>
  </si>
  <si>
    <t>TSPR04TC121008142</t>
  </si>
  <si>
    <t>TSTF04EWL11500807</t>
  </si>
  <si>
    <t>TSTF04EWL11500898</t>
  </si>
  <si>
    <t>TSTF04EWL11500920</t>
  </si>
  <si>
    <t>TSTF04EWL11500974</t>
  </si>
  <si>
    <t>TSTF04EWL11500845</t>
  </si>
  <si>
    <t>TSTF04EWL11500979</t>
  </si>
  <si>
    <t>TSTF04EWL11500809</t>
  </si>
  <si>
    <t>TSTF04EWL11500806</t>
  </si>
  <si>
    <t>TSTF04EWL11500931</t>
  </si>
  <si>
    <t>TSTF04EWL11500808</t>
  </si>
  <si>
    <t>TSTF04EWL11500767</t>
  </si>
  <si>
    <t>TSTF04EWL11500811</t>
  </si>
  <si>
    <t>TSTF04EWL11500923</t>
  </si>
  <si>
    <t>TSTF04EWL11500812</t>
  </si>
  <si>
    <t>TSTF04EWL11500918</t>
  </si>
  <si>
    <t>TSTF04EWL13200172</t>
  </si>
  <si>
    <t>TSTF04EWL13200208</t>
  </si>
  <si>
    <t>TSTF04EWL13200094</t>
  </si>
  <si>
    <t>TSTF04EWL13200217</t>
  </si>
  <si>
    <t>TSTF04EWL13200230</t>
  </si>
  <si>
    <t>TSTF04EWL13200222</t>
  </si>
  <si>
    <t>TSTF04EWL13200111</t>
  </si>
  <si>
    <t>TSTF04EWL13200043</t>
  </si>
  <si>
    <t>TSTF04EWL13200011</t>
  </si>
  <si>
    <t>TSTF04EWL13200060</t>
  </si>
  <si>
    <t>TSTF04EWL13200030</t>
  </si>
  <si>
    <t>TSTF04EWL13200108</t>
  </si>
  <si>
    <t>TSTF04EWL13200042</t>
  </si>
  <si>
    <t>TSTF04EWL13200105</t>
  </si>
  <si>
    <t>TSTF04EWL13200262</t>
  </si>
  <si>
    <t>TSTF04EWL13200010</t>
  </si>
  <si>
    <t>TSTF04EWL13200051</t>
  </si>
  <si>
    <t>TSTF04EWL14500767</t>
  </si>
  <si>
    <t>TSTF04EK622307335</t>
  </si>
  <si>
    <t>TSTF04EWL14500478</t>
  </si>
  <si>
    <t>TSTF04EWL14500591</t>
  </si>
  <si>
    <t>TSTF04EK622307319</t>
  </si>
  <si>
    <t>TSTF04EK622307375</t>
  </si>
  <si>
    <t>TSTF04EK622307309</t>
  </si>
  <si>
    <t>TSTF04EK622307315</t>
  </si>
  <si>
    <t>TSPR04TG122062583</t>
  </si>
  <si>
    <t>TSTF04EK622307168</t>
  </si>
  <si>
    <t>TSTF04EWL13200186</t>
  </si>
  <si>
    <t>TSTF04EWL13200016</t>
  </si>
  <si>
    <t>TSTF04EWL13200120</t>
  </si>
  <si>
    <t>TSTF04EWL13200122</t>
  </si>
  <si>
    <t>TSPR04TG122062570</t>
  </si>
  <si>
    <t>TSPR04TG122062569</t>
  </si>
  <si>
    <t>TSPR04TG122062573</t>
  </si>
  <si>
    <t>TSPR04TG122062591</t>
  </si>
  <si>
    <t>TSPR04TG122062291</t>
  </si>
  <si>
    <t>TSPR04TG122062189</t>
  </si>
  <si>
    <t>TSPR04TG122062597</t>
  </si>
  <si>
    <t>TSTF04EK622307376</t>
  </si>
  <si>
    <t>TSTF04EK622307307</t>
  </si>
  <si>
    <t>TSTF04EK622307300</t>
  </si>
  <si>
    <t>TSTF04EK622307318</t>
  </si>
  <si>
    <t>counter</t>
  </si>
  <si>
    <t>TSTF04EK622307347</t>
  </si>
  <si>
    <t>TSTF04EK622307430</t>
  </si>
  <si>
    <t>TSTF04EK622307431</t>
  </si>
  <si>
    <t>TSTF04EK622307360</t>
  </si>
  <si>
    <t>TSTF04EK622307355</t>
  </si>
  <si>
    <t>TSTF04EK622307364</t>
  </si>
  <si>
    <t>TSTF04EK622307377</t>
  </si>
  <si>
    <t>TSTF04EK622307429</t>
  </si>
  <si>
    <t>TSTF04EK622307356</t>
  </si>
  <si>
    <t>TSTF04EK622307303</t>
  </si>
  <si>
    <t>TSTF04EK622307389</t>
  </si>
  <si>
    <t>TSPR04TG122052060</t>
  </si>
  <si>
    <t>TSTF04EWL14500869</t>
  </si>
  <si>
    <t>TSTF04EWL14500589</t>
  </si>
  <si>
    <t>TSTF04EWL14500872</t>
  </si>
  <si>
    <t>TSTF04EWL14500457</t>
  </si>
  <si>
    <t>TSPR04ESH13005555</t>
  </si>
  <si>
    <t>TSTF04EWL13200205</t>
  </si>
  <si>
    <t>TSPR04TC121009089</t>
  </si>
  <si>
    <t>TSPR04TC121009067</t>
  </si>
  <si>
    <t>TSPR04TC121008531</t>
  </si>
  <si>
    <t>TSPR04TC121005726</t>
  </si>
  <si>
    <t>TSPR04TC121008516</t>
  </si>
  <si>
    <t>Desk 76</t>
  </si>
  <si>
    <t>desk 150</t>
  </si>
  <si>
    <t>Desk 73</t>
  </si>
  <si>
    <t>desk 84</t>
  </si>
  <si>
    <t>desk 146</t>
  </si>
  <si>
    <t>K6</t>
  </si>
  <si>
    <t>K13</t>
  </si>
  <si>
    <t>desk 133</t>
  </si>
  <si>
    <t>Kelo</t>
  </si>
  <si>
    <t>Kaarna</t>
  </si>
  <si>
    <t>Hilla</t>
  </si>
  <si>
    <t>Tyrni</t>
  </si>
  <si>
    <t>Neva</t>
  </si>
  <si>
    <t>Letto</t>
  </si>
  <si>
    <t>Räme</t>
  </si>
  <si>
    <t>Puolukka</t>
  </si>
  <si>
    <t>Mustikka</t>
  </si>
  <si>
    <t>Sammal</t>
  </si>
  <si>
    <t>Varpu</t>
  </si>
  <si>
    <t>Jäkälä</t>
  </si>
  <si>
    <t>Naava</t>
  </si>
  <si>
    <t>Norppa</t>
  </si>
  <si>
    <t>Siili</t>
  </si>
  <si>
    <t>Karhu</t>
  </si>
  <si>
    <t>Ahma</t>
  </si>
  <si>
    <t>Susi</t>
  </si>
  <si>
    <t>Hirvi</t>
  </si>
  <si>
    <t>Joutsen</t>
  </si>
  <si>
    <t>K9</t>
  </si>
  <si>
    <t>K1</t>
  </si>
  <si>
    <t>K2</t>
  </si>
  <si>
    <t>K3</t>
  </si>
  <si>
    <t>K4</t>
  </si>
  <si>
    <t>K5</t>
  </si>
  <si>
    <t>K8</t>
  </si>
  <si>
    <t>K7</t>
  </si>
  <si>
    <t>K15</t>
  </si>
  <si>
    <t>K16</t>
  </si>
  <si>
    <t>K14</t>
  </si>
  <si>
    <t>K10</t>
  </si>
  <si>
    <t>K11</t>
  </si>
  <si>
    <t>K12</t>
  </si>
  <si>
    <t>Desk 46</t>
  </si>
  <si>
    <t>Desk 47</t>
  </si>
  <si>
    <t>Desk 48</t>
  </si>
  <si>
    <t>Desk 45</t>
  </si>
  <si>
    <t>Desk 59</t>
  </si>
  <si>
    <t>Desk 60</t>
  </si>
  <si>
    <t>Desk 61</t>
  </si>
  <si>
    <t>Desk 58</t>
  </si>
  <si>
    <t>Desk 61.4</t>
  </si>
  <si>
    <t>Desk 61.3</t>
  </si>
  <si>
    <t>Desk 61.2</t>
  </si>
  <si>
    <t>Desk 61.1</t>
  </si>
  <si>
    <t>Desk 62</t>
  </si>
  <si>
    <t>Desk 63</t>
  </si>
  <si>
    <t>Desk 67</t>
  </si>
  <si>
    <t>Desk 66</t>
  </si>
  <si>
    <t>Desk 68</t>
  </si>
  <si>
    <t>Desk 65</t>
  </si>
  <si>
    <t>Desk 69</t>
  </si>
  <si>
    <t>Desk 64</t>
  </si>
  <si>
    <t>Desk 72</t>
  </si>
  <si>
    <t>Desk 71</t>
  </si>
  <si>
    <t>Desk 70</t>
  </si>
  <si>
    <t>Desk 74</t>
  </si>
  <si>
    <t>New desk1</t>
  </si>
  <si>
    <t>Desk 49</t>
  </si>
  <si>
    <t>Desk 51</t>
  </si>
  <si>
    <t>Desk 50</t>
  </si>
  <si>
    <t>Desk 57</t>
  </si>
  <si>
    <t>Desk 54</t>
  </si>
  <si>
    <t>Desk 56</t>
  </si>
  <si>
    <t>Desk 53</t>
  </si>
  <si>
    <t>Desk 52</t>
  </si>
  <si>
    <t>Desk 55</t>
  </si>
  <si>
    <t>desk 77</t>
  </si>
  <si>
    <t>desk 80</t>
  </si>
  <si>
    <t>desk 81</t>
  </si>
  <si>
    <t>Desk 84.1</t>
  </si>
  <si>
    <t>Desk 84.2</t>
  </si>
  <si>
    <t>Desk 75</t>
  </si>
  <si>
    <t>desk 78</t>
  </si>
  <si>
    <t>desk 79</t>
  </si>
  <si>
    <t>desk 82</t>
  </si>
  <si>
    <t>desk 83</t>
  </si>
  <si>
    <t>Desk 91</t>
  </si>
  <si>
    <t>desk 85</t>
  </si>
  <si>
    <t>Desk 90</t>
  </si>
  <si>
    <t>Desk 89</t>
  </si>
  <si>
    <t>DEsk 92</t>
  </si>
  <si>
    <t>Desk 86</t>
  </si>
  <si>
    <t>Desk 87</t>
  </si>
  <si>
    <t>DEsk 88</t>
  </si>
  <si>
    <t>Desk 94</t>
  </si>
  <si>
    <t>Desk 95</t>
  </si>
  <si>
    <t>Desk 93</t>
  </si>
  <si>
    <t>Desk 96</t>
  </si>
  <si>
    <t>desk 147</t>
  </si>
  <si>
    <t>desk 148</t>
  </si>
  <si>
    <t>desk 149</t>
  </si>
  <si>
    <t>desk 152</t>
  </si>
  <si>
    <t>desk 151</t>
  </si>
  <si>
    <t>desk 144</t>
  </si>
  <si>
    <t>desk 145</t>
  </si>
  <si>
    <t>desk 136</t>
  </si>
  <si>
    <t>desk 137</t>
  </si>
  <si>
    <t>desk 140</t>
  </si>
  <si>
    <t>desk 141</t>
  </si>
  <si>
    <t>desk 132</t>
  </si>
  <si>
    <t>desk 143</t>
  </si>
  <si>
    <t>desk 142</t>
  </si>
  <si>
    <t>desk 135</t>
  </si>
  <si>
    <t>desk 134</t>
  </si>
  <si>
    <t>desk 139</t>
  </si>
  <si>
    <t>desk 138</t>
  </si>
  <si>
    <t>desk 131</t>
  </si>
  <si>
    <t>desk 130</t>
  </si>
  <si>
    <t>desk 155</t>
  </si>
  <si>
    <t>desk 154</t>
  </si>
  <si>
    <t>desk 153</t>
  </si>
  <si>
    <t>desk 123</t>
  </si>
  <si>
    <t>desk 122</t>
  </si>
  <si>
    <t>desk 121</t>
  </si>
  <si>
    <t>desk 124</t>
  </si>
  <si>
    <t>desk 125</t>
  </si>
  <si>
    <t>desk 126</t>
  </si>
  <si>
    <t>desk 156</t>
  </si>
  <si>
    <t>desk 157</t>
  </si>
  <si>
    <t>desk 158</t>
  </si>
  <si>
    <t>desk 119</t>
  </si>
  <si>
    <t>2.krs Round Desk 3</t>
  </si>
  <si>
    <t>2.krs Round Desk 1</t>
  </si>
  <si>
    <t>2.krs Round Desk 2</t>
  </si>
  <si>
    <t>M95 Women toilet visitor counter</t>
  </si>
  <si>
    <t>desk 120</t>
  </si>
  <si>
    <t>desk 118</t>
  </si>
  <si>
    <t>desk 117</t>
  </si>
  <si>
    <t>desk 112</t>
  </si>
  <si>
    <t>desk 111</t>
  </si>
  <si>
    <t>desk 116</t>
  </si>
  <si>
    <t>desk 115</t>
  </si>
  <si>
    <t>desk 109</t>
  </si>
  <si>
    <t>desk 110</t>
  </si>
  <si>
    <t>desk 113</t>
  </si>
  <si>
    <t>desk 114 </t>
  </si>
  <si>
    <t>desk 129</t>
  </si>
  <si>
    <t>desk 127</t>
  </si>
  <si>
    <t>desk 128</t>
  </si>
  <si>
    <t>desk 108</t>
  </si>
  <si>
    <t>desk 107</t>
  </si>
  <si>
    <t>desk 103</t>
  </si>
  <si>
    <t>desk 104</t>
  </si>
  <si>
    <t>desk 101</t>
  </si>
  <si>
    <t>desk 102</t>
  </si>
  <si>
    <t>desk 106</t>
  </si>
  <si>
    <t>desk 105</t>
  </si>
  <si>
    <t>DEsk 44</t>
  </si>
  <si>
    <t>Desk 42</t>
  </si>
  <si>
    <t>Desk 43</t>
  </si>
  <si>
    <t>DEsk 41</t>
  </si>
  <si>
    <t>DEsk 37</t>
  </si>
  <si>
    <t>DEsk 39</t>
  </si>
  <si>
    <t>DEsk 35</t>
  </si>
  <si>
    <t>DEsk 36</t>
  </si>
  <si>
    <t>DEsk 34</t>
  </si>
  <si>
    <t>DEsk 33</t>
  </si>
  <si>
    <t>DEsk 38</t>
  </si>
  <si>
    <t>DEsk 40</t>
  </si>
  <si>
    <t>DEsk 32</t>
  </si>
  <si>
    <t>DEsk 31</t>
  </si>
  <si>
    <t>DEsk 29</t>
  </si>
  <si>
    <t>DEsk 30</t>
  </si>
  <si>
    <t>DEsk 25</t>
  </si>
  <si>
    <t>DEsk 26</t>
  </si>
  <si>
    <t>DEsk 28</t>
  </si>
  <si>
    <t>DEsk 27</t>
  </si>
  <si>
    <t>DEsk 14</t>
  </si>
  <si>
    <t>DEsk 13</t>
  </si>
  <si>
    <t>Desk 22</t>
  </si>
  <si>
    <t>Desk 21</t>
  </si>
  <si>
    <t>Desk 12</t>
  </si>
  <si>
    <t>DEsk 11</t>
  </si>
  <si>
    <t>Desk 7</t>
  </si>
  <si>
    <t>DEsk 6</t>
  </si>
  <si>
    <t>Desk 3</t>
  </si>
  <si>
    <t>Desk 2</t>
  </si>
  <si>
    <t>Desk 15</t>
  </si>
  <si>
    <t>Desk 16</t>
  </si>
  <si>
    <t>Desk 23</t>
  </si>
  <si>
    <t>Desk 24</t>
  </si>
  <si>
    <t>Desk 4</t>
  </si>
  <si>
    <t>DEsk 1</t>
  </si>
  <si>
    <t>Desk 8</t>
  </si>
  <si>
    <t>DEsk 5</t>
  </si>
  <si>
    <t>Desk 10</t>
  </si>
  <si>
    <t>Desk 9</t>
  </si>
  <si>
    <t>Desk 18</t>
  </si>
  <si>
    <t>Desk 19</t>
  </si>
  <si>
    <t>Desk 17</t>
  </si>
  <si>
    <t>Desk 20</t>
  </si>
  <si>
    <t>2.krs Neukkari</t>
  </si>
  <si>
    <t>2.krs Desk 11</t>
  </si>
  <si>
    <t>2.krs Desk 10</t>
  </si>
  <si>
    <t>2.krs Desk 12</t>
  </si>
  <si>
    <t>2.krs Desk 7</t>
  </si>
  <si>
    <t>2.krs Desk 8</t>
  </si>
  <si>
    <t>2.krs Desk 3</t>
  </si>
  <si>
    <t>2.krs Desk 4</t>
  </si>
  <si>
    <t>2.krs Desk 9</t>
  </si>
  <si>
    <t>2.krs Desk 6</t>
  </si>
  <si>
    <t>2.krs Desk 5</t>
  </si>
  <si>
    <t>2.krs Desk 2</t>
  </si>
  <si>
    <t>2.krs Desk 1</t>
  </si>
  <si>
    <t>M95 Men toilet visitor counter</t>
  </si>
  <si>
    <t>M95 Toilet women toilet paper 1/3</t>
  </si>
  <si>
    <t>M95 Toilet women toilet paper 2/3</t>
  </si>
  <si>
    <t>M95 Toilet women toilet paper 3/3</t>
  </si>
  <si>
    <t>M95 Toilet men toilet paper</t>
  </si>
  <si>
    <t>M95 Toilet women hand paper 1/2</t>
  </si>
  <si>
    <t>M95 Toilet women hand paper 2/2</t>
  </si>
  <si>
    <t>M95 Toilet men hand paper 1/2</t>
  </si>
  <si>
    <t>M95 Toilet men hand paper 2/2</t>
  </si>
  <si>
    <t>M30 Toilet men 1 visitor counter</t>
  </si>
  <si>
    <t>M30 Toilet women 1 visitor counter</t>
  </si>
  <si>
    <t>M30 Toilet women 2 visitor counter</t>
  </si>
  <si>
    <t>M30 Toilet men 2 visitor counter</t>
  </si>
  <si>
    <t>M30 Toilet men 2 hand paper 1/2</t>
  </si>
  <si>
    <t>M30 Toilet men 2 hand paper 2/2</t>
  </si>
  <si>
    <t>M30 Toilet women 2 hand paper 2/2</t>
  </si>
  <si>
    <t>M30 Toilet women 2 hand paper 1/2</t>
  </si>
  <si>
    <t>M50 energy waste bin </t>
  </si>
  <si>
    <t>M55 energy waste bin</t>
  </si>
  <si>
    <t>M65 energy waste bin</t>
  </si>
  <si>
    <t>M60 energy waste bin</t>
  </si>
  <si>
    <t>Coffee lounge</t>
  </si>
  <si>
    <t>1104 Toilet men visitor counter</t>
  </si>
  <si>
    <t>1105 Toilet women visitor counter</t>
  </si>
  <si>
    <t>1105 Toilet women hand paper</t>
  </si>
  <si>
    <t>1104 Toilet men hand paper</t>
  </si>
  <si>
    <t>1104 Toilet men toilet paper 1/4</t>
  </si>
  <si>
    <t>1104 Toilet men toilet paper 2/4</t>
  </si>
  <si>
    <t>1104 Toilet men toilet paper 3/4</t>
  </si>
  <si>
    <t>1104 Toilet men toilet paper 4/4</t>
  </si>
  <si>
    <t>1105 Toilet women toilet paper 1/4</t>
  </si>
  <si>
    <t>1105 Toilet women toilet paper 2/4</t>
  </si>
  <si>
    <t>1105 Toilet women toilet paper 3/4</t>
  </si>
  <si>
    <t>1805 Toilet men visitor counter</t>
  </si>
  <si>
    <t>Tila</t>
  </si>
  <si>
    <t>Tilatyyppi</t>
  </si>
  <si>
    <t>Kerros</t>
  </si>
  <si>
    <t>Maanpäällinen/Kellari</t>
  </si>
  <si>
    <t>Vyöhyke</t>
  </si>
  <si>
    <t>Pinta-ala</t>
  </si>
  <si>
    <t>Kapasiteetti</t>
  </si>
  <si>
    <t>Käyttötarkoitus</t>
  </si>
  <si>
    <t>Aukiopoajat</t>
  </si>
  <si>
    <t>koordinaatit</t>
  </si>
  <si>
    <t>Valmistaja</t>
  </si>
  <si>
    <t>Haltian</t>
  </si>
  <si>
    <t>SensoriID</t>
  </si>
  <si>
    <t>Sensorityyppi</t>
  </si>
  <si>
    <t>deployment group</t>
  </si>
  <si>
    <t>prcv00wp50lt0valmetlempaala</t>
  </si>
  <si>
    <t>Malli</t>
  </si>
  <si>
    <t>Sensorintila</t>
  </si>
  <si>
    <t>Thingsee PRESENCE</t>
  </si>
  <si>
    <t>Thingsee BEAM</t>
  </si>
  <si>
    <t>aktiivinen</t>
  </si>
  <si>
    <t>Asennuspäivä</t>
  </si>
  <si>
    <t>Koordinaatti</t>
  </si>
  <si>
    <t>Tarkkuusluokka</t>
  </si>
  <si>
    <t>Nimi</t>
  </si>
  <si>
    <t>Rakennus</t>
  </si>
  <si>
    <t>Neuvottelu</t>
  </si>
  <si>
    <t>Pöytä</t>
  </si>
  <si>
    <t>WC</t>
  </si>
  <si>
    <t>Annostelija</t>
  </si>
  <si>
    <t>Roska-astia</t>
  </si>
  <si>
    <t>Maanpäällinen</t>
  </si>
  <si>
    <t>Mod30</t>
  </si>
  <si>
    <t>Mod45</t>
  </si>
  <si>
    <t>Mod50</t>
  </si>
  <si>
    <t>Mod55</t>
  </si>
  <si>
    <t>Mod60</t>
  </si>
  <si>
    <t>Mod65</t>
  </si>
  <si>
    <t>Mod95</t>
  </si>
  <si>
    <t>Mod10</t>
  </si>
  <si>
    <t>Mod80</t>
  </si>
  <si>
    <t>1804 Toilet women visitor counter</t>
  </si>
  <si>
    <t>1805 Toilet men hand paper</t>
  </si>
  <si>
    <t>1804 Toilet women hand paper</t>
  </si>
  <si>
    <t>1805 Toilet men toilet paper 1/4</t>
  </si>
  <si>
    <t>1805 Toilet men toilet paper 2/4</t>
  </si>
  <si>
    <t>1805 Toilet men toilet paper 4/4</t>
  </si>
  <si>
    <t>1804 Toilet women toilet paper 1/4</t>
  </si>
  <si>
    <t>1804 Toilet women toilet paper 2/4</t>
  </si>
  <si>
    <t>1804 Toilet women toilet paper 3/4</t>
  </si>
  <si>
    <t>1804 Toilet women toilet paper 4/4</t>
  </si>
  <si>
    <t>1854 Toilet men visitor counter</t>
  </si>
  <si>
    <t>Mod85</t>
  </si>
  <si>
    <t>1854 Toilet men hand paper</t>
  </si>
  <si>
    <t>1854 Toilet men toilet paper 3/4</t>
  </si>
  <si>
    <t>1854 Toilet men toilet paper 2/4</t>
  </si>
  <si>
    <t>1854 Toilet men toilet paper 1/4</t>
  </si>
  <si>
    <t>1463 Toilet inva hand paper</t>
  </si>
  <si>
    <t>1455 Toilet women visitor counter</t>
  </si>
  <si>
    <t>1454 Toilet men visitor counter</t>
  </si>
  <si>
    <t>1455 Toilet women hand paper</t>
  </si>
  <si>
    <t>1454 Toilet men hand paper 1/2</t>
  </si>
  <si>
    <t>1455 Toilet women toilet paper 2/2</t>
  </si>
  <si>
    <t>1455 Toilet women toilet paper 1/2</t>
  </si>
  <si>
    <t>1454 Toilet men toilet paper 4/4</t>
  </si>
  <si>
    <t>1454 Toilet men toilet paper 3/4</t>
  </si>
  <si>
    <t>1454 Toilet men toilet paper 2/4</t>
  </si>
  <si>
    <t>1454 Toilet men hand paper 2/2</t>
  </si>
  <si>
    <t>1505 toilet men toilet paper 4/4</t>
  </si>
  <si>
    <t>1505 toilet men toilet paper 3/4</t>
  </si>
  <si>
    <t>1505 toilet men toilet paper 2/4</t>
  </si>
  <si>
    <t>1505 Toilet men toilet paper 1/4</t>
  </si>
  <si>
    <t>1505 toilet men hand paper 1/2</t>
  </si>
  <si>
    <t>1505 toilet men hand paper 2/2</t>
  </si>
  <si>
    <t>1504 toilet women hand paper 1/2</t>
  </si>
  <si>
    <t>1504 toilet women hand paper 2/2</t>
  </si>
  <si>
    <t>1504 toilet women toilet paper 1/4</t>
  </si>
  <si>
    <t>1504 toilet women toilet paper 2/4</t>
  </si>
  <si>
    <t>1504 toilet women toilet paper 3/4</t>
  </si>
  <si>
    <t>1504 toilet women toilet paper 4/4</t>
  </si>
  <si>
    <t>1556 toilet men hand paper 1/2</t>
  </si>
  <si>
    <t>1556 toilet men hand paper 2/2</t>
  </si>
  <si>
    <t>1556 toilet men toilet paper 1/4</t>
  </si>
  <si>
    <t>1556 toilet men toilet paper 2/4</t>
  </si>
  <si>
    <t>1556 toilet men toilet paper 3/4</t>
  </si>
  <si>
    <t>1556 toilet men toilet paper 4/4</t>
  </si>
  <si>
    <t>1463 toilet inva visitor counter</t>
  </si>
  <si>
    <t>1505 toilet men visitor counter</t>
  </si>
  <si>
    <t>1504 toilet woman</t>
  </si>
  <si>
    <t>1556 toilet men visitor counter</t>
  </si>
  <si>
    <t>1281 toilet women visitor counter</t>
  </si>
  <si>
    <t>Mod15</t>
  </si>
  <si>
    <t>1282 toilet men visitor counter</t>
  </si>
  <si>
    <t>1282 toilet men handpaper 1/2</t>
  </si>
  <si>
    <t>1281 toilet women hand paper 1/1</t>
  </si>
  <si>
    <t>1282 toilet men toilet paper 1/2</t>
  </si>
  <si>
    <t>1282 toilet men toilet paper 2/2</t>
  </si>
  <si>
    <t>1281 toilet women toilet paper 1/2</t>
  </si>
  <si>
    <t>1281 toilet women toilet paper 2/2</t>
  </si>
  <si>
    <t>M105 energy waste bin</t>
  </si>
  <si>
    <t>Mod105</t>
  </si>
  <si>
    <t>M45 energy waste bin</t>
  </si>
  <si>
    <t>M20 energy waste bin</t>
  </si>
  <si>
    <t>M105 Toilet men visitor counter</t>
  </si>
  <si>
    <t>M105 Toilet women visitor counter</t>
  </si>
  <si>
    <t>M105 Toilet men hand paper</t>
  </si>
  <si>
    <t>M105 Toilet women hand paper</t>
  </si>
  <si>
    <t>M105 Toilet men toilet paper 1/2</t>
  </si>
  <si>
    <t>M105 Toilet men toilet paper 2/2</t>
  </si>
  <si>
    <t>M105 Toilet women toilet paper 2/2</t>
  </si>
  <si>
    <t>M105 Toilet women toilet paper 1/2</t>
  </si>
  <si>
    <t>Työterveys toilet men visitor counter</t>
  </si>
  <si>
    <t>Työterveys</t>
  </si>
  <si>
    <t>Mod20</t>
  </si>
  <si>
    <t>Työterveys toilet women visitor counter</t>
  </si>
  <si>
    <t>Työterveys toilet women hand paper</t>
  </si>
  <si>
    <t>Työterveys toilet men hand paper</t>
  </si>
  <si>
    <t>Työterveys toilet women toilet paper 2/2</t>
  </si>
  <si>
    <t>Työterveys toilet women toilet paper 1/2</t>
  </si>
  <si>
    <t>Työterveys toilet men toilet paper</t>
  </si>
  <si>
    <t>M100 Toilet women visitor counter</t>
  </si>
  <si>
    <t>Mod100</t>
  </si>
  <si>
    <t>M100 Toilet men visitor counter</t>
  </si>
  <si>
    <t>M100 Toilet women hand paper 2/2</t>
  </si>
  <si>
    <t>M100 Toilet men hand paper 2/2</t>
  </si>
  <si>
    <t>M100 Toilet men hand paper 1/2</t>
  </si>
  <si>
    <t>M100 Toilet men toilet paper 1/2</t>
  </si>
  <si>
    <t>M100 Toilet men toilet paper 2/2 </t>
  </si>
  <si>
    <t>M100 Toilet women toilet paper 3/3</t>
  </si>
  <si>
    <t>M100 Toilet women toilet paper 2/3</t>
  </si>
  <si>
    <t>M100 Toilet women toilet paper 1/3</t>
  </si>
  <si>
    <t>M30 toilet women toilet paper 1/5</t>
  </si>
  <si>
    <t>M30 toilet women toilet paper 2/5</t>
  </si>
  <si>
    <t>M30 toilet women toilet paper 3/5</t>
  </si>
  <si>
    <t>M30 toilet women toilet paper 4/5</t>
  </si>
  <si>
    <t>M30 toilet women toilet paper 5/5</t>
  </si>
  <si>
    <t>M30 toilet men 2 toilet paper 3/3</t>
  </si>
  <si>
    <t>M30 toilet men 2 toilet paper 2/3</t>
  </si>
  <si>
    <t>M30 toilet men toilet paper 1/3</t>
  </si>
  <si>
    <t>2043.1 Toilet men main reception visitor counter</t>
  </si>
  <si>
    <t>2044 Toilet inva 2. floor</t>
  </si>
  <si>
    <t>2045 Toilet women 2. floor</t>
  </si>
  <si>
    <t>2043.1 Paper 1/2</t>
  </si>
  <si>
    <t>2043.1 Paper 2/2</t>
  </si>
  <si>
    <t>2045 Paper 2/2</t>
  </si>
  <si>
    <t>2045 Paper 1/2</t>
  </si>
  <si>
    <t>2043.1 Toilet paper 2/2</t>
  </si>
  <si>
    <t>2043.1 Toilet paper 1/2</t>
  </si>
  <si>
    <t>Pääaula</t>
  </si>
  <si>
    <t>2045 Toilet paper 1/2</t>
  </si>
  <si>
    <t>2045 Toilet paper 2/2</t>
  </si>
  <si>
    <t>2905 Toilet women restaurant visitor counter</t>
  </si>
  <si>
    <t>Ravintola</t>
  </si>
  <si>
    <t>2902 Toilet men restaurant visitor counter</t>
  </si>
  <si>
    <t>2905 Hand paper 1/2</t>
  </si>
  <si>
    <t>2905 Hand paper 2/2</t>
  </si>
  <si>
    <t>2902 Hand paper 1/2</t>
  </si>
  <si>
    <t>2902 Hand paper 2/2</t>
  </si>
  <si>
    <t>2905 Toilet paper 3/3</t>
  </si>
  <si>
    <t>2905 Toilet paper 2/3</t>
  </si>
  <si>
    <t>2905 Toilet paper 1/3</t>
  </si>
  <si>
    <t>2902 Toilet paper 2/2</t>
  </si>
  <si>
    <t>2902 Toilet paper 1/2</t>
  </si>
  <si>
    <t>M30 toilet women 1 wc paper 5/5</t>
  </si>
  <si>
    <t>M30 toilet women 1 wc paper 4/5</t>
  </si>
  <si>
    <t>M30 toilet women 1 wc paper 3/5</t>
  </si>
  <si>
    <t>M30 toilet women 1 wc paper 2/5</t>
  </si>
  <si>
    <t>M30 toilet women 1 wc paper 1/5</t>
  </si>
  <si>
    <t>M30 toilet men 1 wc paper 4/4</t>
  </si>
  <si>
    <t>M30 toilet men 1 wc paper 3/4</t>
  </si>
  <si>
    <t>M30 toilet men 1 wc paper 2/4</t>
  </si>
  <si>
    <t>M30 toilet men 1 wc paper 1/4</t>
  </si>
  <si>
    <t>M30 toilet men 1 hand paper 1/1</t>
  </si>
  <si>
    <t>M15 energy waste bin</t>
  </si>
  <si>
    <t>M10 energy waste bin</t>
  </si>
  <si>
    <t>M70 energy waste bin</t>
  </si>
  <si>
    <t>M80 energy waste bin</t>
  </si>
  <si>
    <t>M85 energy waste bin</t>
  </si>
  <si>
    <t>M75 energy waste bin</t>
  </si>
  <si>
    <t>M30 energy waste bin</t>
  </si>
  <si>
    <t>M90 energy waste bin</t>
  </si>
  <si>
    <t>M95 energy waste bin</t>
  </si>
  <si>
    <t>M100 energy waste bin</t>
  </si>
  <si>
    <t>Restaurant visitor counter</t>
  </si>
  <si>
    <t>M100 Toilet women hand paper 1/2</t>
  </si>
  <si>
    <t>Mod70</t>
  </si>
  <si>
    <t>Mod75</t>
  </si>
  <si>
    <t>Mod90</t>
  </si>
  <si>
    <t>Valmet Lentokentänkatu</t>
  </si>
  <si>
    <t>gateway</t>
  </si>
  <si>
    <t>TSGW01EWJ10400062</t>
  </si>
  <si>
    <t>TSGW01EWJ10400034</t>
  </si>
  <si>
    <t>TSGW01EWJ10400043</t>
  </si>
  <si>
    <t>TSGW01EWJ10400063</t>
  </si>
  <si>
    <t>Thingsee GATEWAY</t>
  </si>
  <si>
    <t>Gateway</t>
  </si>
  <si>
    <t>Gateway 1</t>
  </si>
  <si>
    <t>Gateway 2</t>
  </si>
  <si>
    <t>Gateway 3</t>
  </si>
  <si>
    <t>Gateway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</si>
</sst>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2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2030-8359-42A1-82E6-07828A6177B9}">
  <dimension ref="A1:X390"/>
  <sheetViews>
    <sheetView tabSelected="1" topLeftCell="E259" zoomScale="120" zoomScaleNormal="120" workbookViewId="0">
      <selection activeCell="M279" sqref="M279"/>
    </sheetView>
  </sheetViews>
  <sheetFormatPr defaultRowHeight="15" x14ac:dyDescent="0.25"/>
  <cols>
    <col min="1" max="1" width="19.85546875" bestFit="1" customWidth="1"/>
    <col min="2" max="2" width="13.85546875" bestFit="1" customWidth="1"/>
    <col min="3" max="3" width="25.85546875" bestFit="1" customWidth="1"/>
    <col min="4" max="4" width="11.85546875" customWidth="1"/>
    <col min="5" max="5" width="24.42578125" bestFit="1" customWidth="1"/>
    <col min="6" max="6" width="11.42578125" customWidth="1"/>
    <col min="7" max="7" width="18.85546875" customWidth="1"/>
    <col min="8" max="8" width="27.7109375" customWidth="1"/>
    <col min="9" max="9" width="14.140625" customWidth="1"/>
    <col min="12" max="12" width="20.140625" bestFit="1" customWidth="1"/>
    <col min="13" max="13" width="40.140625" bestFit="1" customWidth="1"/>
    <col min="14" max="14" width="20.7109375" bestFit="1" customWidth="1"/>
    <col min="16" max="16" width="14.42578125" bestFit="1" customWidth="1"/>
    <col min="17" max="17" width="9.85546875" bestFit="1" customWidth="1"/>
    <col min="18" max="18" width="14.42578125" bestFit="1" customWidth="1"/>
  </cols>
  <sheetData>
    <row r="1" spans="1:24" x14ac:dyDescent="0.25">
      <c r="A1" t="s">
        <v>651</v>
      </c>
      <c r="B1" t="s">
        <v>652</v>
      </c>
      <c r="C1" t="s">
        <v>653</v>
      </c>
      <c r="D1" t="s">
        <v>649</v>
      </c>
      <c r="E1" t="s">
        <v>655</v>
      </c>
      <c r="F1" t="s">
        <v>656</v>
      </c>
      <c r="G1" t="s">
        <v>2</v>
      </c>
      <c r="H1" t="s">
        <v>0</v>
      </c>
      <c r="I1" t="s">
        <v>660</v>
      </c>
      <c r="J1" t="s">
        <v>661</v>
      </c>
      <c r="K1" t="s">
        <v>662</v>
      </c>
      <c r="L1" t="s">
        <v>1</v>
      </c>
      <c r="M1" t="s">
        <v>663</v>
      </c>
      <c r="N1" t="s">
        <v>664</v>
      </c>
      <c r="O1" t="s">
        <v>639</v>
      </c>
      <c r="P1" t="s">
        <v>640</v>
      </c>
      <c r="Q1" t="s">
        <v>641</v>
      </c>
      <c r="R1" t="s">
        <v>642</v>
      </c>
      <c r="S1" t="s">
        <v>643</v>
      </c>
      <c r="T1" t="s">
        <v>644</v>
      </c>
      <c r="U1" t="s">
        <v>645</v>
      </c>
      <c r="V1" t="s">
        <v>646</v>
      </c>
      <c r="W1" t="s">
        <v>647</v>
      </c>
      <c r="X1" t="s">
        <v>648</v>
      </c>
    </row>
    <row r="2" spans="1:24" x14ac:dyDescent="0.25">
      <c r="A2" t="s">
        <v>388</v>
      </c>
      <c r="B2" t="s">
        <v>3</v>
      </c>
      <c r="C2" t="s">
        <v>654</v>
      </c>
      <c r="D2" s="2" t="s">
        <v>650</v>
      </c>
      <c r="E2" t="str">
        <f>_xlfn.XLOOKUP(B2,Laitetyypit!A:A,Laitetyypit!B:B,"ei")</f>
        <v>Thingsee PRESENCE</v>
      </c>
      <c r="F2" t="s">
        <v>659</v>
      </c>
      <c r="G2" s="3">
        <v>0.89</v>
      </c>
      <c r="H2" s="2">
        <v>46164.556261574071</v>
      </c>
      <c r="L2">
        <v>112072938</v>
      </c>
      <c r="M2" t="s">
        <v>399</v>
      </c>
      <c r="N2" t="s">
        <v>827</v>
      </c>
      <c r="O2" t="s">
        <v>671</v>
      </c>
      <c r="P2" t="s">
        <v>665</v>
      </c>
      <c r="Q2">
        <v>1</v>
      </c>
      <c r="R2" t="s">
        <v>670</v>
      </c>
      <c r="S2" t="s">
        <v>671</v>
      </c>
    </row>
    <row r="3" spans="1:24" x14ac:dyDescent="0.25">
      <c r="A3" t="s">
        <v>74</v>
      </c>
      <c r="B3" t="s">
        <v>3</v>
      </c>
      <c r="C3" t="s">
        <v>654</v>
      </c>
      <c r="D3" s="2" t="s">
        <v>650</v>
      </c>
      <c r="E3" t="str">
        <f>_xlfn.XLOOKUP(B3,Laitetyypit!A:A,Laitetyypit!B:B,"ei")</f>
        <v>Thingsee PRESENCE</v>
      </c>
      <c r="F3" t="s">
        <v>659</v>
      </c>
      <c r="G3" s="3">
        <v>0.89</v>
      </c>
      <c r="H3" s="2">
        <v>46164.544282407405</v>
      </c>
      <c r="L3">
        <v>112072939</v>
      </c>
      <c r="M3" t="s">
        <v>400</v>
      </c>
      <c r="N3" t="s">
        <v>827</v>
      </c>
      <c r="O3" t="s">
        <v>671</v>
      </c>
      <c r="P3" t="s">
        <v>665</v>
      </c>
      <c r="Q3">
        <v>1</v>
      </c>
      <c r="R3" t="s">
        <v>670</v>
      </c>
      <c r="S3" t="s">
        <v>671</v>
      </c>
    </row>
    <row r="4" spans="1:24" x14ac:dyDescent="0.25">
      <c r="A4" t="s">
        <v>87</v>
      </c>
      <c r="B4" t="s">
        <v>3</v>
      </c>
      <c r="C4" t="s">
        <v>654</v>
      </c>
      <c r="D4" s="2" t="s">
        <v>650</v>
      </c>
      <c r="E4" t="str">
        <f>_xlfn.XLOOKUP(B4,Laitetyypit!A:A,Laitetyypit!B:B,"ei")</f>
        <v>Thingsee PRESENCE</v>
      </c>
      <c r="F4" t="s">
        <v>659</v>
      </c>
      <c r="G4" s="3">
        <v>0.87</v>
      </c>
      <c r="H4" s="2">
        <v>46164.55028935185</v>
      </c>
      <c r="L4">
        <v>112072940</v>
      </c>
      <c r="M4" t="s">
        <v>401</v>
      </c>
      <c r="N4" t="s">
        <v>827</v>
      </c>
      <c r="O4" t="s">
        <v>671</v>
      </c>
      <c r="P4" t="s">
        <v>665</v>
      </c>
      <c r="Q4">
        <v>1</v>
      </c>
      <c r="R4" t="s">
        <v>670</v>
      </c>
      <c r="S4" t="s">
        <v>671</v>
      </c>
    </row>
    <row r="5" spans="1:24" x14ac:dyDescent="0.25">
      <c r="A5" t="s">
        <v>158</v>
      </c>
      <c r="B5" t="s">
        <v>3</v>
      </c>
      <c r="C5" t="s">
        <v>654</v>
      </c>
      <c r="D5" s="2" t="s">
        <v>650</v>
      </c>
      <c r="E5" t="str">
        <f>_xlfn.XLOOKUP(B5,Laitetyypit!A:A,Laitetyypit!B:B,"ei")</f>
        <v>Thingsee PRESENCE</v>
      </c>
      <c r="F5" t="s">
        <v>659</v>
      </c>
      <c r="G5" s="3">
        <v>0.88</v>
      </c>
      <c r="H5" s="2">
        <v>46164.554965277777</v>
      </c>
      <c r="L5">
        <v>112072941</v>
      </c>
      <c r="M5" t="s">
        <v>402</v>
      </c>
      <c r="N5" t="s">
        <v>827</v>
      </c>
      <c r="O5" t="s">
        <v>671</v>
      </c>
      <c r="P5" t="s">
        <v>665</v>
      </c>
      <c r="Q5">
        <v>1</v>
      </c>
      <c r="R5" t="s">
        <v>670</v>
      </c>
      <c r="S5" t="s">
        <v>671</v>
      </c>
    </row>
    <row r="6" spans="1:24" x14ac:dyDescent="0.25">
      <c r="A6" t="s">
        <v>132</v>
      </c>
      <c r="B6" t="s">
        <v>3</v>
      </c>
      <c r="C6" t="s">
        <v>654</v>
      </c>
      <c r="D6" s="2" t="s">
        <v>650</v>
      </c>
      <c r="E6" t="str">
        <f>_xlfn.XLOOKUP(B6,Laitetyypit!A:A,Laitetyypit!B:B,"ei")</f>
        <v>Thingsee PRESENCE</v>
      </c>
      <c r="F6" t="s">
        <v>659</v>
      </c>
      <c r="G6" s="3">
        <v>0.87</v>
      </c>
      <c r="H6" s="2">
        <v>46164.555891203701</v>
      </c>
      <c r="L6">
        <v>112072943</v>
      </c>
      <c r="M6" t="s">
        <v>403</v>
      </c>
      <c r="N6" t="s">
        <v>827</v>
      </c>
      <c r="O6" t="s">
        <v>671</v>
      </c>
      <c r="P6" t="s">
        <v>665</v>
      </c>
      <c r="Q6">
        <v>1</v>
      </c>
      <c r="R6" t="s">
        <v>670</v>
      </c>
      <c r="S6" t="s">
        <v>671</v>
      </c>
    </row>
    <row r="7" spans="1:24" x14ac:dyDescent="0.25">
      <c r="A7" t="s">
        <v>72</v>
      </c>
      <c r="B7" t="s">
        <v>3</v>
      </c>
      <c r="C7" t="s">
        <v>654</v>
      </c>
      <c r="D7" s="2" t="s">
        <v>650</v>
      </c>
      <c r="E7" t="str">
        <f>_xlfn.XLOOKUP(B7,Laitetyypit!A:A,Laitetyypit!B:B,"ei")</f>
        <v>Thingsee PRESENCE</v>
      </c>
      <c r="F7" t="s">
        <v>659</v>
      </c>
      <c r="G7" s="3">
        <v>0.86</v>
      </c>
      <c r="H7" s="2">
        <v>46164.555567129632</v>
      </c>
      <c r="L7">
        <v>112072944</v>
      </c>
      <c r="M7" t="s">
        <v>404</v>
      </c>
      <c r="N7" t="s">
        <v>827</v>
      </c>
      <c r="O7" t="s">
        <v>671</v>
      </c>
      <c r="P7" t="s">
        <v>665</v>
      </c>
      <c r="Q7">
        <v>1</v>
      </c>
      <c r="R7" t="s">
        <v>670</v>
      </c>
      <c r="S7" t="s">
        <v>671</v>
      </c>
    </row>
    <row r="8" spans="1:24" x14ac:dyDescent="0.25">
      <c r="A8" t="s">
        <v>144</v>
      </c>
      <c r="B8" t="s">
        <v>3</v>
      </c>
      <c r="C8" t="s">
        <v>654</v>
      </c>
      <c r="D8" s="2" t="s">
        <v>650</v>
      </c>
      <c r="E8" t="str">
        <f>_xlfn.XLOOKUP(B8,Laitetyypit!A:A,Laitetyypit!B:B,"ei")</f>
        <v>Thingsee PRESENCE</v>
      </c>
      <c r="F8" t="s">
        <v>659</v>
      </c>
      <c r="G8" s="3">
        <v>0.83</v>
      </c>
      <c r="H8" s="2">
        <v>46164.553668981483</v>
      </c>
      <c r="L8">
        <v>112072945</v>
      </c>
      <c r="M8" t="s">
        <v>405</v>
      </c>
      <c r="N8" t="s">
        <v>827</v>
      </c>
      <c r="O8" t="s">
        <v>671</v>
      </c>
      <c r="P8" t="s">
        <v>665</v>
      </c>
      <c r="Q8">
        <v>1</v>
      </c>
      <c r="R8" t="s">
        <v>670</v>
      </c>
      <c r="S8" t="s">
        <v>671</v>
      </c>
    </row>
    <row r="9" spans="1:24" x14ac:dyDescent="0.25">
      <c r="A9" t="s">
        <v>135</v>
      </c>
      <c r="B9" t="s">
        <v>3</v>
      </c>
      <c r="C9" t="s">
        <v>654</v>
      </c>
      <c r="D9" s="2" t="s">
        <v>650</v>
      </c>
      <c r="E9" t="str">
        <f>_xlfn.XLOOKUP(B9,Laitetyypit!A:A,Laitetyypit!B:B,"ei")</f>
        <v>Thingsee PRESENCE</v>
      </c>
      <c r="F9" t="s">
        <v>659</v>
      </c>
      <c r="G9" s="3">
        <v>0.9</v>
      </c>
      <c r="H9" s="2">
        <v>46164.55028935185</v>
      </c>
      <c r="L9">
        <v>112072989</v>
      </c>
      <c r="M9" t="s">
        <v>406</v>
      </c>
      <c r="N9" t="s">
        <v>827</v>
      </c>
      <c r="O9" t="s">
        <v>671</v>
      </c>
      <c r="P9" t="s">
        <v>665</v>
      </c>
      <c r="Q9">
        <v>1</v>
      </c>
      <c r="R9" t="s">
        <v>670</v>
      </c>
      <c r="S9" t="s">
        <v>671</v>
      </c>
    </row>
    <row r="10" spans="1:24" x14ac:dyDescent="0.25">
      <c r="A10" t="s">
        <v>73</v>
      </c>
      <c r="B10" t="s">
        <v>3</v>
      </c>
      <c r="C10" t="s">
        <v>654</v>
      </c>
      <c r="D10" s="2" t="s">
        <v>650</v>
      </c>
      <c r="E10" t="str">
        <f>_xlfn.XLOOKUP(B10,Laitetyypit!A:A,Laitetyypit!B:B,"ei")</f>
        <v>Thingsee PRESENCE</v>
      </c>
      <c r="F10" t="s">
        <v>659</v>
      </c>
      <c r="G10" s="3">
        <v>0.85</v>
      </c>
      <c r="H10" s="2">
        <v>46164.555752314816</v>
      </c>
      <c r="L10">
        <v>112072990</v>
      </c>
      <c r="M10" t="s">
        <v>407</v>
      </c>
      <c r="N10" t="s">
        <v>827</v>
      </c>
      <c r="O10" t="s">
        <v>671</v>
      </c>
      <c r="P10" t="s">
        <v>665</v>
      </c>
      <c r="Q10">
        <v>1</v>
      </c>
      <c r="R10" t="s">
        <v>670</v>
      </c>
      <c r="S10" t="s">
        <v>671</v>
      </c>
    </row>
    <row r="11" spans="1:24" x14ac:dyDescent="0.25">
      <c r="A11" t="s">
        <v>75</v>
      </c>
      <c r="B11" t="s">
        <v>3</v>
      </c>
      <c r="C11" t="s">
        <v>654</v>
      </c>
      <c r="D11" s="2" t="s">
        <v>650</v>
      </c>
      <c r="E11" t="str">
        <f>_xlfn.XLOOKUP(B11,Laitetyypit!A:A,Laitetyypit!B:B,"ei")</f>
        <v>Thingsee PRESENCE</v>
      </c>
      <c r="F11" t="s">
        <v>659</v>
      </c>
      <c r="G11" s="3">
        <v>0.89</v>
      </c>
      <c r="H11" s="2">
        <v>46164.551388888889</v>
      </c>
      <c r="L11">
        <v>112072991</v>
      </c>
      <c r="M11" t="s">
        <v>408</v>
      </c>
      <c r="N11" t="s">
        <v>827</v>
      </c>
      <c r="O11" t="s">
        <v>671</v>
      </c>
      <c r="P11" t="s">
        <v>665</v>
      </c>
      <c r="Q11">
        <v>1</v>
      </c>
      <c r="R11" t="s">
        <v>670</v>
      </c>
      <c r="S11" t="s">
        <v>671</v>
      </c>
    </row>
    <row r="12" spans="1:24" x14ac:dyDescent="0.25">
      <c r="A12" t="s">
        <v>160</v>
      </c>
      <c r="B12" t="s">
        <v>3</v>
      </c>
      <c r="C12" t="s">
        <v>654</v>
      </c>
      <c r="D12" s="2" t="s">
        <v>650</v>
      </c>
      <c r="E12" t="str">
        <f>_xlfn.XLOOKUP(B12,Laitetyypit!A:A,Laitetyypit!B:B,"ei")</f>
        <v>Thingsee PRESENCE</v>
      </c>
      <c r="F12" t="s">
        <v>659</v>
      </c>
      <c r="G12" s="3">
        <v>0.89</v>
      </c>
      <c r="H12" s="2">
        <v>46164.551041666666</v>
      </c>
      <c r="L12">
        <v>112072992</v>
      </c>
      <c r="M12" t="s">
        <v>409</v>
      </c>
      <c r="N12" t="s">
        <v>827</v>
      </c>
      <c r="O12" t="s">
        <v>671</v>
      </c>
      <c r="P12" t="s">
        <v>665</v>
      </c>
      <c r="Q12">
        <v>1</v>
      </c>
      <c r="R12" t="s">
        <v>670</v>
      </c>
      <c r="S12" t="s">
        <v>671</v>
      </c>
    </row>
    <row r="13" spans="1:24" x14ac:dyDescent="0.25">
      <c r="A13" t="s">
        <v>198</v>
      </c>
      <c r="B13" t="s">
        <v>3</v>
      </c>
      <c r="C13" t="s">
        <v>654</v>
      </c>
      <c r="D13" s="2" t="s">
        <v>650</v>
      </c>
      <c r="E13" t="str">
        <f>_xlfn.XLOOKUP(B13,Laitetyypit!A:A,Laitetyypit!B:B,"ei")</f>
        <v>Thingsee PRESENCE</v>
      </c>
      <c r="F13" t="s">
        <v>659</v>
      </c>
      <c r="G13" s="3">
        <v>0.88</v>
      </c>
      <c r="H13" s="2">
        <v>46164.538819444446</v>
      </c>
      <c r="L13">
        <v>112072993</v>
      </c>
      <c r="M13" t="s">
        <v>410</v>
      </c>
      <c r="N13" t="s">
        <v>827</v>
      </c>
      <c r="O13" t="s">
        <v>671</v>
      </c>
      <c r="P13" t="s">
        <v>665</v>
      </c>
      <c r="Q13">
        <v>1</v>
      </c>
      <c r="R13" t="s">
        <v>670</v>
      </c>
      <c r="S13" t="s">
        <v>671</v>
      </c>
    </row>
    <row r="14" spans="1:24" x14ac:dyDescent="0.25">
      <c r="A14" t="s">
        <v>109</v>
      </c>
      <c r="B14" t="s">
        <v>3</v>
      </c>
      <c r="C14" t="s">
        <v>654</v>
      </c>
      <c r="D14" s="2" t="s">
        <v>650</v>
      </c>
      <c r="E14" t="str">
        <f>_xlfn.XLOOKUP(B14,Laitetyypit!A:A,Laitetyypit!B:B,"ei")</f>
        <v>Thingsee PRESENCE</v>
      </c>
      <c r="F14" t="s">
        <v>659</v>
      </c>
      <c r="G14" s="3">
        <v>0.86</v>
      </c>
      <c r="H14" s="2">
        <v>46164.550879629627</v>
      </c>
      <c r="L14">
        <v>112072994</v>
      </c>
      <c r="M14" t="s">
        <v>411</v>
      </c>
      <c r="N14" t="s">
        <v>827</v>
      </c>
      <c r="O14" t="s">
        <v>671</v>
      </c>
      <c r="P14" t="s">
        <v>665</v>
      </c>
      <c r="Q14">
        <v>1</v>
      </c>
      <c r="R14" t="s">
        <v>670</v>
      </c>
      <c r="S14" t="s">
        <v>671</v>
      </c>
    </row>
    <row r="15" spans="1:24" x14ac:dyDescent="0.25">
      <c r="A15" t="s">
        <v>175</v>
      </c>
      <c r="B15" t="s">
        <v>3</v>
      </c>
      <c r="C15" t="s">
        <v>654</v>
      </c>
      <c r="D15" s="2" t="s">
        <v>650</v>
      </c>
      <c r="E15" t="str">
        <f>_xlfn.XLOOKUP(B15,Laitetyypit!A:A,Laitetyypit!B:B,"ei")</f>
        <v>Thingsee PRESENCE</v>
      </c>
      <c r="F15" t="s">
        <v>659</v>
      </c>
      <c r="G15" s="3">
        <v>0.87</v>
      </c>
      <c r="H15" s="2">
        <v>46164.543067129627</v>
      </c>
      <c r="L15">
        <v>112072995</v>
      </c>
      <c r="M15" t="s">
        <v>412</v>
      </c>
      <c r="N15" t="s">
        <v>827</v>
      </c>
      <c r="O15" t="s">
        <v>671</v>
      </c>
      <c r="P15" t="s">
        <v>665</v>
      </c>
      <c r="Q15">
        <v>1</v>
      </c>
      <c r="R15" t="s">
        <v>670</v>
      </c>
      <c r="S15" t="s">
        <v>671</v>
      </c>
    </row>
    <row r="16" spans="1:24" x14ac:dyDescent="0.25">
      <c r="A16" t="s">
        <v>48</v>
      </c>
      <c r="B16" t="s">
        <v>3</v>
      </c>
      <c r="C16" t="s">
        <v>654</v>
      </c>
      <c r="D16" s="2" t="s">
        <v>650</v>
      </c>
      <c r="E16" t="str">
        <f>_xlfn.XLOOKUP(B16,Laitetyypit!A:A,Laitetyypit!B:B,"ei")</f>
        <v>Thingsee PRESENCE</v>
      </c>
      <c r="F16" t="s">
        <v>659</v>
      </c>
      <c r="G16" s="3">
        <v>0.86</v>
      </c>
      <c r="H16" s="2">
        <v>46164.555092592593</v>
      </c>
      <c r="L16">
        <v>112072996</v>
      </c>
      <c r="M16" t="s">
        <v>413</v>
      </c>
      <c r="N16" t="s">
        <v>827</v>
      </c>
      <c r="O16" t="s">
        <v>671</v>
      </c>
      <c r="P16" t="s">
        <v>665</v>
      </c>
      <c r="Q16">
        <v>1</v>
      </c>
      <c r="R16" t="s">
        <v>670</v>
      </c>
      <c r="S16" t="s">
        <v>671</v>
      </c>
    </row>
    <row r="17" spans="1:19" x14ac:dyDescent="0.25">
      <c r="A17" t="s">
        <v>80</v>
      </c>
      <c r="B17" t="s">
        <v>3</v>
      </c>
      <c r="C17" t="s">
        <v>654</v>
      </c>
      <c r="D17" s="2" t="s">
        <v>650</v>
      </c>
      <c r="E17" t="str">
        <f>_xlfn.XLOOKUP(B17,Laitetyypit!A:A,Laitetyypit!B:B,"ei")</f>
        <v>Thingsee PRESENCE</v>
      </c>
      <c r="F17" t="s">
        <v>659</v>
      </c>
      <c r="G17" s="3">
        <v>0.88</v>
      </c>
      <c r="H17" s="2">
        <v>46164.553287037037</v>
      </c>
      <c r="L17">
        <v>112072999</v>
      </c>
      <c r="M17" t="s">
        <v>414</v>
      </c>
      <c r="N17" t="s">
        <v>827</v>
      </c>
      <c r="O17" t="s">
        <v>671</v>
      </c>
      <c r="P17" t="s">
        <v>665</v>
      </c>
      <c r="Q17">
        <v>1</v>
      </c>
      <c r="R17" t="s">
        <v>670</v>
      </c>
      <c r="S17" t="s">
        <v>671</v>
      </c>
    </row>
    <row r="18" spans="1:19" x14ac:dyDescent="0.25">
      <c r="A18" t="s">
        <v>201</v>
      </c>
      <c r="B18" t="s">
        <v>3</v>
      </c>
      <c r="C18" t="s">
        <v>654</v>
      </c>
      <c r="D18" s="2" t="s">
        <v>650</v>
      </c>
      <c r="E18" t="str">
        <f>_xlfn.XLOOKUP(B18,Laitetyypit!A:A,Laitetyypit!B:B,"ei")</f>
        <v>Thingsee PRESENCE</v>
      </c>
      <c r="F18" t="s">
        <v>659</v>
      </c>
      <c r="G18" s="3">
        <v>0.88</v>
      </c>
      <c r="H18" s="2">
        <v>46164.555972222224</v>
      </c>
      <c r="L18">
        <v>112073000</v>
      </c>
      <c r="M18" t="s">
        <v>415</v>
      </c>
      <c r="N18" t="s">
        <v>827</v>
      </c>
      <c r="O18" t="s">
        <v>671</v>
      </c>
      <c r="P18" t="s">
        <v>665</v>
      </c>
      <c r="Q18">
        <v>1</v>
      </c>
      <c r="R18" t="s">
        <v>670</v>
      </c>
      <c r="S18" t="s">
        <v>671</v>
      </c>
    </row>
    <row r="19" spans="1:19" x14ac:dyDescent="0.25">
      <c r="A19" t="s">
        <v>155</v>
      </c>
      <c r="B19" t="s">
        <v>3</v>
      </c>
      <c r="C19" t="s">
        <v>654</v>
      </c>
      <c r="D19" s="2" t="s">
        <v>650</v>
      </c>
      <c r="E19" t="str">
        <f>_xlfn.XLOOKUP(B19,Laitetyypit!A:A,Laitetyypit!B:B,"ei")</f>
        <v>Thingsee PRESENCE</v>
      </c>
      <c r="F19" t="s">
        <v>659</v>
      </c>
      <c r="G19" s="3">
        <v>0.88</v>
      </c>
      <c r="H19" s="2">
        <v>46164.556145833332</v>
      </c>
      <c r="L19">
        <v>112073001</v>
      </c>
      <c r="M19" t="s">
        <v>416</v>
      </c>
      <c r="N19" t="s">
        <v>827</v>
      </c>
      <c r="O19" t="s">
        <v>671</v>
      </c>
      <c r="P19" t="s">
        <v>665</v>
      </c>
      <c r="Q19">
        <v>1</v>
      </c>
      <c r="R19" t="s">
        <v>670</v>
      </c>
      <c r="S19" t="s">
        <v>671</v>
      </c>
    </row>
    <row r="20" spans="1:19" x14ac:dyDescent="0.25">
      <c r="A20" t="s">
        <v>200</v>
      </c>
      <c r="B20" t="s">
        <v>3</v>
      </c>
      <c r="C20" t="s">
        <v>654</v>
      </c>
      <c r="D20" s="2" t="s">
        <v>650</v>
      </c>
      <c r="E20" t="str">
        <f>_xlfn.XLOOKUP(B20,Laitetyypit!A:A,Laitetyypit!B:B,"ei")</f>
        <v>Thingsee PRESENCE</v>
      </c>
      <c r="F20" t="s">
        <v>659</v>
      </c>
      <c r="G20" s="3">
        <v>0.9</v>
      </c>
      <c r="H20" s="2">
        <v>46164.54215277778</v>
      </c>
      <c r="L20">
        <v>112073002</v>
      </c>
      <c r="M20" t="s">
        <v>417</v>
      </c>
      <c r="N20" t="s">
        <v>827</v>
      </c>
      <c r="O20" t="s">
        <v>671</v>
      </c>
      <c r="P20" t="s">
        <v>665</v>
      </c>
      <c r="Q20">
        <v>1</v>
      </c>
      <c r="R20" t="s">
        <v>670</v>
      </c>
      <c r="S20" t="s">
        <v>671</v>
      </c>
    </row>
    <row r="21" spans="1:19" x14ac:dyDescent="0.25">
      <c r="A21" t="s">
        <v>138</v>
      </c>
      <c r="B21" t="s">
        <v>3</v>
      </c>
      <c r="C21" t="s">
        <v>654</v>
      </c>
      <c r="D21" s="2" t="s">
        <v>650</v>
      </c>
      <c r="E21" t="str">
        <f>_xlfn.XLOOKUP(B21,Laitetyypit!A:A,Laitetyypit!B:B,"ei")</f>
        <v>Thingsee PRESENCE</v>
      </c>
      <c r="F21" t="s">
        <v>659</v>
      </c>
      <c r="G21" s="3">
        <v>0.9</v>
      </c>
      <c r="H21" s="2">
        <v>46164.555925925924</v>
      </c>
      <c r="L21">
        <v>112073006</v>
      </c>
      <c r="M21" t="s">
        <v>418</v>
      </c>
      <c r="N21" t="s">
        <v>827</v>
      </c>
      <c r="O21" t="s">
        <v>671</v>
      </c>
      <c r="P21" t="s">
        <v>665</v>
      </c>
      <c r="Q21">
        <v>1</v>
      </c>
      <c r="R21" t="s">
        <v>670</v>
      </c>
      <c r="S21" t="s">
        <v>671</v>
      </c>
    </row>
    <row r="22" spans="1:19" x14ac:dyDescent="0.25">
      <c r="A22" t="s">
        <v>149</v>
      </c>
      <c r="B22" t="s">
        <v>3</v>
      </c>
      <c r="C22" t="s">
        <v>654</v>
      </c>
      <c r="D22" s="2" t="s">
        <v>650</v>
      </c>
      <c r="E22" t="str">
        <f>_xlfn.XLOOKUP(B22,Laitetyypit!A:A,Laitetyypit!B:B,"ei")</f>
        <v>Thingsee PRESENCE</v>
      </c>
      <c r="F22" t="s">
        <v>659</v>
      </c>
      <c r="G22" s="3">
        <v>0.9</v>
      </c>
      <c r="H22" s="2">
        <v>46164.555717592593</v>
      </c>
      <c r="L22">
        <v>112073188</v>
      </c>
      <c r="M22" t="s">
        <v>419</v>
      </c>
      <c r="N22" t="s">
        <v>827</v>
      </c>
      <c r="O22" t="s">
        <v>671</v>
      </c>
      <c r="P22" t="s">
        <v>665</v>
      </c>
      <c r="Q22">
        <v>1</v>
      </c>
      <c r="R22" t="s">
        <v>670</v>
      </c>
      <c r="S22" t="s">
        <v>671</v>
      </c>
    </row>
    <row r="23" spans="1:19" x14ac:dyDescent="0.25">
      <c r="A23" t="s">
        <v>68</v>
      </c>
      <c r="B23" t="s">
        <v>3</v>
      </c>
      <c r="C23" t="s">
        <v>654</v>
      </c>
      <c r="D23" s="2" t="s">
        <v>650</v>
      </c>
      <c r="E23" t="str">
        <f>_xlfn.XLOOKUP(B23,Laitetyypit!A:A,Laitetyypit!B:B,"ei")</f>
        <v>Thingsee PRESENCE</v>
      </c>
      <c r="F23" t="s">
        <v>659</v>
      </c>
      <c r="G23" s="3">
        <v>0.88</v>
      </c>
      <c r="H23" s="2">
        <v>46164.555844907409</v>
      </c>
      <c r="L23">
        <v>112073189</v>
      </c>
      <c r="M23" t="s">
        <v>420</v>
      </c>
      <c r="N23" t="s">
        <v>827</v>
      </c>
      <c r="O23" t="s">
        <v>671</v>
      </c>
      <c r="P23" t="s">
        <v>665</v>
      </c>
      <c r="Q23">
        <v>1</v>
      </c>
      <c r="R23" t="s">
        <v>670</v>
      </c>
      <c r="S23" t="s">
        <v>671</v>
      </c>
    </row>
    <row r="24" spans="1:19" x14ac:dyDescent="0.25">
      <c r="A24" t="s">
        <v>114</v>
      </c>
      <c r="B24" t="s">
        <v>3</v>
      </c>
      <c r="C24" t="s">
        <v>654</v>
      </c>
      <c r="D24" s="2" t="s">
        <v>650</v>
      </c>
      <c r="E24" t="str">
        <f>_xlfn.XLOOKUP(B24,Laitetyypit!A:A,Laitetyypit!B:B,"ei")</f>
        <v>Thingsee PRESENCE</v>
      </c>
      <c r="F24" t="s">
        <v>659</v>
      </c>
      <c r="G24" s="3">
        <v>0.9</v>
      </c>
      <c r="H24" s="2">
        <v>46164.555567129632</v>
      </c>
      <c r="L24">
        <v>112073190</v>
      </c>
      <c r="M24" t="s">
        <v>421</v>
      </c>
      <c r="N24" t="s">
        <v>827</v>
      </c>
      <c r="O24" t="s">
        <v>671</v>
      </c>
      <c r="P24" t="s">
        <v>665</v>
      </c>
      <c r="Q24">
        <v>1</v>
      </c>
      <c r="R24" t="s">
        <v>670</v>
      </c>
      <c r="S24" t="s">
        <v>671</v>
      </c>
    </row>
    <row r="25" spans="1:19" x14ac:dyDescent="0.25">
      <c r="A25" t="s">
        <v>145</v>
      </c>
      <c r="B25" t="s">
        <v>3</v>
      </c>
      <c r="C25" t="s">
        <v>654</v>
      </c>
      <c r="D25" s="2" t="s">
        <v>650</v>
      </c>
      <c r="E25" t="str">
        <f>_xlfn.XLOOKUP(B25,Laitetyypit!A:A,Laitetyypit!B:B,"ei")</f>
        <v>Thingsee PRESENCE</v>
      </c>
      <c r="F25" t="s">
        <v>659</v>
      </c>
      <c r="G25" s="3">
        <v>0.93</v>
      </c>
      <c r="H25" s="2">
        <v>46164.537916666668</v>
      </c>
      <c r="L25">
        <v>112073191</v>
      </c>
      <c r="M25" t="s">
        <v>422</v>
      </c>
      <c r="N25" t="s">
        <v>827</v>
      </c>
      <c r="O25" t="s">
        <v>671</v>
      </c>
      <c r="P25" t="s">
        <v>665</v>
      </c>
      <c r="Q25">
        <v>1</v>
      </c>
      <c r="R25" t="s">
        <v>670</v>
      </c>
      <c r="S25" t="s">
        <v>671</v>
      </c>
    </row>
    <row r="26" spans="1:19" x14ac:dyDescent="0.25">
      <c r="A26" t="s">
        <v>105</v>
      </c>
      <c r="B26" t="s">
        <v>3</v>
      </c>
      <c r="C26" t="s">
        <v>654</v>
      </c>
      <c r="D26" s="2" t="s">
        <v>650</v>
      </c>
      <c r="E26" t="str">
        <f>_xlfn.XLOOKUP(B26,Laitetyypit!A:A,Laitetyypit!B:B,"ei")</f>
        <v>Thingsee PRESENCE</v>
      </c>
      <c r="F26" t="s">
        <v>659</v>
      </c>
      <c r="G26" s="3">
        <v>0.89</v>
      </c>
      <c r="H26" s="2">
        <v>46164.55568287037</v>
      </c>
      <c r="L26">
        <v>112073192</v>
      </c>
      <c r="M26" t="s">
        <v>423</v>
      </c>
      <c r="N26" t="s">
        <v>827</v>
      </c>
      <c r="O26" t="s">
        <v>671</v>
      </c>
      <c r="P26" t="s">
        <v>665</v>
      </c>
      <c r="Q26">
        <v>1</v>
      </c>
      <c r="R26" t="s">
        <v>670</v>
      </c>
      <c r="S26" t="s">
        <v>671</v>
      </c>
    </row>
    <row r="27" spans="1:19" x14ac:dyDescent="0.25">
      <c r="A27" t="s">
        <v>41</v>
      </c>
      <c r="B27" t="s">
        <v>3</v>
      </c>
      <c r="C27" t="s">
        <v>654</v>
      </c>
      <c r="D27" s="2" t="s">
        <v>650</v>
      </c>
      <c r="E27" t="str">
        <f>_xlfn.XLOOKUP(B27,Laitetyypit!A:A,Laitetyypit!B:B,"ei")</f>
        <v>Thingsee PRESENCE</v>
      </c>
      <c r="F27" t="s">
        <v>659</v>
      </c>
      <c r="G27" s="3">
        <v>0.9</v>
      </c>
      <c r="H27" s="2">
        <v>46164.556064814817</v>
      </c>
      <c r="L27">
        <v>112073193</v>
      </c>
      <c r="M27" t="s">
        <v>424</v>
      </c>
      <c r="N27" t="s">
        <v>827</v>
      </c>
      <c r="O27" t="s">
        <v>671</v>
      </c>
      <c r="P27" t="s">
        <v>665</v>
      </c>
      <c r="Q27">
        <v>1</v>
      </c>
      <c r="R27" t="s">
        <v>670</v>
      </c>
      <c r="S27" t="s">
        <v>671</v>
      </c>
    </row>
    <row r="28" spans="1:19" x14ac:dyDescent="0.25">
      <c r="A28" t="s">
        <v>9</v>
      </c>
      <c r="B28" t="s">
        <v>3</v>
      </c>
      <c r="C28" t="s">
        <v>654</v>
      </c>
      <c r="D28" s="2" t="s">
        <v>650</v>
      </c>
      <c r="E28" t="str">
        <f>_xlfn.XLOOKUP(B28,Laitetyypit!A:A,Laitetyypit!B:B,"ei")</f>
        <v>Thingsee PRESENCE</v>
      </c>
      <c r="F28" t="s">
        <v>659</v>
      </c>
      <c r="G28" s="3">
        <v>0.91</v>
      </c>
      <c r="H28" s="2">
        <v>46164.555092592593</v>
      </c>
      <c r="L28">
        <v>112073194</v>
      </c>
      <c r="M28" t="s">
        <v>396</v>
      </c>
      <c r="N28" t="s">
        <v>827</v>
      </c>
      <c r="O28" t="s">
        <v>671</v>
      </c>
      <c r="P28" t="s">
        <v>665</v>
      </c>
      <c r="Q28">
        <v>1</v>
      </c>
      <c r="R28" t="s">
        <v>670</v>
      </c>
      <c r="S28" t="s">
        <v>671</v>
      </c>
    </row>
    <row r="29" spans="1:19" x14ac:dyDescent="0.25">
      <c r="A29" t="s">
        <v>123</v>
      </c>
      <c r="B29" t="s">
        <v>3</v>
      </c>
      <c r="C29" t="s">
        <v>654</v>
      </c>
      <c r="D29" s="2" t="s">
        <v>650</v>
      </c>
      <c r="E29" t="str">
        <f>_xlfn.XLOOKUP(B29,Laitetyypit!A:A,Laitetyypit!B:B,"ei")</f>
        <v>Thingsee PRESENCE</v>
      </c>
      <c r="F29" t="s">
        <v>659</v>
      </c>
      <c r="G29" s="3">
        <v>0.84</v>
      </c>
      <c r="H29" s="2">
        <v>46164.541319444441</v>
      </c>
      <c r="L29">
        <v>112073195</v>
      </c>
      <c r="M29" t="s">
        <v>425</v>
      </c>
      <c r="N29" t="s">
        <v>827</v>
      </c>
      <c r="O29" t="s">
        <v>671</v>
      </c>
      <c r="P29" t="s">
        <v>665</v>
      </c>
      <c r="Q29">
        <v>1</v>
      </c>
      <c r="R29" t="s">
        <v>670</v>
      </c>
      <c r="S29" t="s">
        <v>671</v>
      </c>
    </row>
    <row r="30" spans="1:19" x14ac:dyDescent="0.25">
      <c r="A30" t="s">
        <v>95</v>
      </c>
      <c r="B30" t="s">
        <v>3</v>
      </c>
      <c r="C30" t="s">
        <v>654</v>
      </c>
      <c r="D30" s="2" t="s">
        <v>650</v>
      </c>
      <c r="E30" t="str">
        <f>_xlfn.XLOOKUP(B30,Laitetyypit!A:A,Laitetyypit!B:B,"ei")</f>
        <v>Thingsee PRESENCE</v>
      </c>
      <c r="F30" t="s">
        <v>659</v>
      </c>
      <c r="G30" s="3">
        <v>0.87</v>
      </c>
      <c r="H30" s="2">
        <v>46164.541851851849</v>
      </c>
      <c r="L30">
        <v>112073196</v>
      </c>
      <c r="M30" t="s">
        <v>426</v>
      </c>
      <c r="N30" t="s">
        <v>827</v>
      </c>
      <c r="O30" t="s">
        <v>671</v>
      </c>
      <c r="P30" t="s">
        <v>665</v>
      </c>
      <c r="Q30">
        <v>1</v>
      </c>
      <c r="R30" t="s">
        <v>670</v>
      </c>
      <c r="S30" t="s">
        <v>671</v>
      </c>
    </row>
    <row r="31" spans="1:19" x14ac:dyDescent="0.25">
      <c r="A31" t="s">
        <v>197</v>
      </c>
      <c r="B31" t="s">
        <v>3</v>
      </c>
      <c r="C31" t="s">
        <v>654</v>
      </c>
      <c r="D31" s="2" t="s">
        <v>650</v>
      </c>
      <c r="E31" t="str">
        <f>_xlfn.XLOOKUP(B31,Laitetyypit!A:A,Laitetyypit!B:B,"ei")</f>
        <v>Thingsee PRESENCE</v>
      </c>
      <c r="F31" t="s">
        <v>659</v>
      </c>
      <c r="G31" s="3">
        <v>0.85</v>
      </c>
      <c r="H31" s="2">
        <v>46164.556111111109</v>
      </c>
      <c r="L31">
        <v>112073197</v>
      </c>
      <c r="M31" t="s">
        <v>427</v>
      </c>
      <c r="N31" t="s">
        <v>827</v>
      </c>
      <c r="O31" t="s">
        <v>671</v>
      </c>
      <c r="P31" t="s">
        <v>665</v>
      </c>
      <c r="Q31">
        <v>1</v>
      </c>
      <c r="R31" t="s">
        <v>670</v>
      </c>
      <c r="S31" t="s">
        <v>671</v>
      </c>
    </row>
    <row r="32" spans="1:19" x14ac:dyDescent="0.25">
      <c r="A32" t="s">
        <v>103</v>
      </c>
      <c r="B32" t="s">
        <v>3</v>
      </c>
      <c r="C32" t="s">
        <v>654</v>
      </c>
      <c r="D32" s="2" t="s">
        <v>650</v>
      </c>
      <c r="E32" t="str">
        <f>_xlfn.XLOOKUP(B32,Laitetyypit!A:A,Laitetyypit!B:B,"ei")</f>
        <v>Thingsee PRESENCE</v>
      </c>
      <c r="F32" t="s">
        <v>659</v>
      </c>
      <c r="G32" s="3">
        <v>0.89</v>
      </c>
      <c r="H32" s="2">
        <v>46164.55127314815</v>
      </c>
      <c r="L32">
        <v>112073198</v>
      </c>
      <c r="M32" t="s">
        <v>428</v>
      </c>
      <c r="N32" t="s">
        <v>827</v>
      </c>
      <c r="O32" t="s">
        <v>671</v>
      </c>
      <c r="P32" t="s">
        <v>665</v>
      </c>
      <c r="Q32">
        <v>1</v>
      </c>
      <c r="R32" t="s">
        <v>670</v>
      </c>
      <c r="S32" t="s">
        <v>671</v>
      </c>
    </row>
    <row r="33" spans="1:19" x14ac:dyDescent="0.25">
      <c r="A33" t="s">
        <v>15</v>
      </c>
      <c r="B33" t="s">
        <v>3</v>
      </c>
      <c r="C33" t="s">
        <v>654</v>
      </c>
      <c r="D33" s="2" t="s">
        <v>650</v>
      </c>
      <c r="E33" t="str">
        <f>_xlfn.XLOOKUP(B33,Laitetyypit!A:A,Laitetyypit!B:B,"ei")</f>
        <v>Thingsee PRESENCE</v>
      </c>
      <c r="F33" t="s">
        <v>659</v>
      </c>
      <c r="G33" s="3">
        <v>0.9</v>
      </c>
      <c r="H33" s="2">
        <v>46164.555752314816</v>
      </c>
      <c r="L33">
        <v>112073199</v>
      </c>
      <c r="M33" t="s">
        <v>429</v>
      </c>
      <c r="N33" t="s">
        <v>827</v>
      </c>
      <c r="O33" t="s">
        <v>671</v>
      </c>
      <c r="P33" t="s">
        <v>665</v>
      </c>
      <c r="Q33">
        <v>1</v>
      </c>
      <c r="R33" t="s">
        <v>670</v>
      </c>
      <c r="S33" t="s">
        <v>671</v>
      </c>
    </row>
    <row r="34" spans="1:19" x14ac:dyDescent="0.25">
      <c r="A34" t="s">
        <v>390</v>
      </c>
      <c r="B34" t="s">
        <v>3</v>
      </c>
      <c r="C34" t="s">
        <v>654</v>
      </c>
      <c r="D34" s="2" t="s">
        <v>650</v>
      </c>
      <c r="E34" t="str">
        <f>_xlfn.XLOOKUP(B34,Laitetyypit!A:A,Laitetyypit!B:B,"ei")</f>
        <v>Thingsee PRESENCE</v>
      </c>
      <c r="F34" t="s">
        <v>659</v>
      </c>
      <c r="G34" s="3">
        <v>0.9</v>
      </c>
      <c r="H34" s="2">
        <v>46164.556296296294</v>
      </c>
      <c r="L34">
        <v>112073200</v>
      </c>
      <c r="M34" t="s">
        <v>397</v>
      </c>
      <c r="N34" t="s">
        <v>827</v>
      </c>
      <c r="O34" t="s">
        <v>671</v>
      </c>
      <c r="P34" t="s">
        <v>665</v>
      </c>
      <c r="Q34">
        <v>1</v>
      </c>
      <c r="R34" t="s">
        <v>670</v>
      </c>
      <c r="S34" t="s">
        <v>671</v>
      </c>
    </row>
    <row r="35" spans="1:19" x14ac:dyDescent="0.25">
      <c r="A35" t="s">
        <v>386</v>
      </c>
      <c r="B35" t="s">
        <v>3</v>
      </c>
      <c r="C35" t="s">
        <v>654</v>
      </c>
      <c r="D35" s="2" t="s">
        <v>650</v>
      </c>
      <c r="E35" t="str">
        <f>_xlfn.XLOOKUP(B35,Laitetyypit!A:A,Laitetyypit!B:B,"ei")</f>
        <v>Thingsee PRESENCE</v>
      </c>
      <c r="F35" t="s">
        <v>659</v>
      </c>
      <c r="G35" s="3">
        <v>0.89</v>
      </c>
      <c r="H35" s="2">
        <v>46164.556215277778</v>
      </c>
      <c r="L35">
        <v>112073201</v>
      </c>
      <c r="M35" t="s">
        <v>430</v>
      </c>
      <c r="N35" t="s">
        <v>827</v>
      </c>
      <c r="O35" t="s">
        <v>671</v>
      </c>
      <c r="P35" t="s">
        <v>665</v>
      </c>
      <c r="Q35">
        <v>1</v>
      </c>
      <c r="R35" t="s">
        <v>670</v>
      </c>
      <c r="S35" t="s">
        <v>671</v>
      </c>
    </row>
    <row r="36" spans="1:19" x14ac:dyDescent="0.25">
      <c r="A36" t="s">
        <v>89</v>
      </c>
      <c r="B36" t="s">
        <v>3</v>
      </c>
      <c r="C36" t="s">
        <v>654</v>
      </c>
      <c r="D36" s="2" t="s">
        <v>650</v>
      </c>
      <c r="E36" t="str">
        <f>_xlfn.XLOOKUP(B36,Laitetyypit!A:A,Laitetyypit!B:B,"ei")</f>
        <v>Thingsee PRESENCE</v>
      </c>
      <c r="F36" t="s">
        <v>659</v>
      </c>
      <c r="G36" s="3">
        <v>0.9</v>
      </c>
      <c r="H36" s="2">
        <v>46164.555659722224</v>
      </c>
      <c r="L36">
        <v>112073202</v>
      </c>
      <c r="M36" t="s">
        <v>431</v>
      </c>
      <c r="N36" t="s">
        <v>827</v>
      </c>
      <c r="O36" t="s">
        <v>671</v>
      </c>
      <c r="P36" t="s">
        <v>665</v>
      </c>
      <c r="Q36">
        <v>1</v>
      </c>
      <c r="R36" t="s">
        <v>670</v>
      </c>
      <c r="S36" t="s">
        <v>671</v>
      </c>
    </row>
    <row r="37" spans="1:19" x14ac:dyDescent="0.25">
      <c r="A37" t="s">
        <v>165</v>
      </c>
      <c r="B37" t="s">
        <v>3</v>
      </c>
      <c r="C37" t="s">
        <v>654</v>
      </c>
      <c r="D37" s="2" t="s">
        <v>650</v>
      </c>
      <c r="E37" t="str">
        <f>_xlfn.XLOOKUP(B37,Laitetyypit!A:A,Laitetyypit!B:B,"ei")</f>
        <v>Thingsee PRESENCE</v>
      </c>
      <c r="F37" t="s">
        <v>659</v>
      </c>
      <c r="G37" s="3">
        <v>0.9</v>
      </c>
      <c r="H37" s="2">
        <v>46164.555879629632</v>
      </c>
      <c r="L37">
        <v>112073203</v>
      </c>
      <c r="M37" t="s">
        <v>432</v>
      </c>
      <c r="N37" t="s">
        <v>827</v>
      </c>
      <c r="O37" t="s">
        <v>671</v>
      </c>
      <c r="P37" t="s">
        <v>665</v>
      </c>
      <c r="Q37">
        <v>1</v>
      </c>
      <c r="R37" t="s">
        <v>670</v>
      </c>
      <c r="S37" t="s">
        <v>671</v>
      </c>
    </row>
    <row r="38" spans="1:19" x14ac:dyDescent="0.25">
      <c r="A38" t="s">
        <v>85</v>
      </c>
      <c r="B38" t="s">
        <v>3</v>
      </c>
      <c r="C38" t="s">
        <v>654</v>
      </c>
      <c r="D38" s="2" t="s">
        <v>650</v>
      </c>
      <c r="E38" t="str">
        <f>_xlfn.XLOOKUP(B38,Laitetyypit!A:A,Laitetyypit!B:B,"ei")</f>
        <v>Thingsee PRESENCE</v>
      </c>
      <c r="F38" t="s">
        <v>659</v>
      </c>
      <c r="G38" s="3">
        <v>0.85</v>
      </c>
      <c r="H38" s="2">
        <v>46164.540150462963</v>
      </c>
      <c r="L38">
        <v>112073206</v>
      </c>
      <c r="M38" t="s">
        <v>433</v>
      </c>
      <c r="N38" t="s">
        <v>827</v>
      </c>
      <c r="O38" t="s">
        <v>671</v>
      </c>
      <c r="P38" t="s">
        <v>666</v>
      </c>
      <c r="Q38">
        <v>1</v>
      </c>
      <c r="R38" t="s">
        <v>670</v>
      </c>
      <c r="S38" t="s">
        <v>671</v>
      </c>
    </row>
    <row r="39" spans="1:19" x14ac:dyDescent="0.25">
      <c r="A39" t="s">
        <v>140</v>
      </c>
      <c r="B39" t="s">
        <v>3</v>
      </c>
      <c r="C39" t="s">
        <v>654</v>
      </c>
      <c r="D39" s="2" t="s">
        <v>650</v>
      </c>
      <c r="E39" t="str">
        <f>_xlfn.XLOOKUP(B39,Laitetyypit!A:A,Laitetyypit!B:B,"ei")</f>
        <v>Thingsee PRESENCE</v>
      </c>
      <c r="F39" t="s">
        <v>659</v>
      </c>
      <c r="G39" s="3">
        <v>0.84</v>
      </c>
      <c r="H39" s="2">
        <v>46164.541122685187</v>
      </c>
      <c r="L39">
        <v>112073207</v>
      </c>
      <c r="M39" t="s">
        <v>434</v>
      </c>
      <c r="N39" t="s">
        <v>827</v>
      </c>
      <c r="O39" t="s">
        <v>671</v>
      </c>
      <c r="P39" t="s">
        <v>666</v>
      </c>
      <c r="Q39">
        <v>1</v>
      </c>
      <c r="R39" t="s">
        <v>670</v>
      </c>
      <c r="S39" t="s">
        <v>671</v>
      </c>
    </row>
    <row r="40" spans="1:19" x14ac:dyDescent="0.25">
      <c r="A40" t="s">
        <v>91</v>
      </c>
      <c r="B40" t="s">
        <v>3</v>
      </c>
      <c r="C40" t="s">
        <v>654</v>
      </c>
      <c r="D40" s="2" t="s">
        <v>650</v>
      </c>
      <c r="E40" t="str">
        <f>_xlfn.XLOOKUP(B40,Laitetyypit!A:A,Laitetyypit!B:B,"ei")</f>
        <v>Thingsee PRESENCE</v>
      </c>
      <c r="F40" t="s">
        <v>659</v>
      </c>
      <c r="G40" s="3">
        <v>0.86</v>
      </c>
      <c r="H40" s="2">
        <v>46164.54042824074</v>
      </c>
      <c r="L40">
        <v>112073208</v>
      </c>
      <c r="M40" t="s">
        <v>435</v>
      </c>
      <c r="N40" t="s">
        <v>827</v>
      </c>
      <c r="O40" t="s">
        <v>671</v>
      </c>
      <c r="P40" t="s">
        <v>666</v>
      </c>
      <c r="Q40">
        <v>1</v>
      </c>
      <c r="R40" t="s">
        <v>670</v>
      </c>
      <c r="S40" t="s">
        <v>671</v>
      </c>
    </row>
    <row r="41" spans="1:19" x14ac:dyDescent="0.25">
      <c r="A41" t="s">
        <v>108</v>
      </c>
      <c r="B41" t="s">
        <v>3</v>
      </c>
      <c r="C41" t="s">
        <v>654</v>
      </c>
      <c r="D41" s="2" t="s">
        <v>650</v>
      </c>
      <c r="E41" t="str">
        <f>_xlfn.XLOOKUP(B41,Laitetyypit!A:A,Laitetyypit!B:B,"ei")</f>
        <v>Thingsee PRESENCE</v>
      </c>
      <c r="F41" t="s">
        <v>659</v>
      </c>
      <c r="G41" s="3">
        <v>0.99</v>
      </c>
      <c r="H41" s="2">
        <v>45920.565266203703</v>
      </c>
      <c r="L41">
        <v>112073209</v>
      </c>
      <c r="M41" t="s">
        <v>436</v>
      </c>
      <c r="N41" t="s">
        <v>827</v>
      </c>
      <c r="O41" t="s">
        <v>671</v>
      </c>
      <c r="P41" t="s">
        <v>666</v>
      </c>
      <c r="Q41">
        <v>1</v>
      </c>
      <c r="R41" t="s">
        <v>670</v>
      </c>
      <c r="S41" t="s">
        <v>671</v>
      </c>
    </row>
    <row r="42" spans="1:19" x14ac:dyDescent="0.25">
      <c r="A42" t="s">
        <v>43</v>
      </c>
      <c r="B42" t="s">
        <v>3</v>
      </c>
      <c r="C42" t="s">
        <v>654</v>
      </c>
      <c r="D42" s="2" t="s">
        <v>650</v>
      </c>
      <c r="E42" t="str">
        <f>_xlfn.XLOOKUP(B42,Laitetyypit!A:A,Laitetyypit!B:B,"ei")</f>
        <v>Thingsee PRESENCE</v>
      </c>
      <c r="F42" t="s">
        <v>659</v>
      </c>
      <c r="G42" s="3">
        <v>0.9</v>
      </c>
      <c r="H42" s="2">
        <v>46164.536793981482</v>
      </c>
      <c r="L42">
        <v>112073210</v>
      </c>
      <c r="M42" t="s">
        <v>437</v>
      </c>
      <c r="N42" t="s">
        <v>827</v>
      </c>
      <c r="O42" t="s">
        <v>671</v>
      </c>
      <c r="P42" t="s">
        <v>666</v>
      </c>
      <c r="Q42">
        <v>1</v>
      </c>
      <c r="R42" t="s">
        <v>670</v>
      </c>
      <c r="S42" t="s">
        <v>671</v>
      </c>
    </row>
    <row r="43" spans="1:19" x14ac:dyDescent="0.25">
      <c r="A43" t="s">
        <v>31</v>
      </c>
      <c r="B43" t="s">
        <v>3</v>
      </c>
      <c r="C43" t="s">
        <v>654</v>
      </c>
      <c r="D43" s="2" t="s">
        <v>650</v>
      </c>
      <c r="E43" t="str">
        <f>_xlfn.XLOOKUP(B43,Laitetyypit!A:A,Laitetyypit!B:B,"ei")</f>
        <v>Thingsee PRESENCE</v>
      </c>
      <c r="F43" t="s">
        <v>659</v>
      </c>
      <c r="G43" s="3">
        <v>0.87</v>
      </c>
      <c r="H43" s="2">
        <v>46164.538252314815</v>
      </c>
      <c r="L43">
        <v>112073211</v>
      </c>
      <c r="M43" t="s">
        <v>438</v>
      </c>
      <c r="N43" t="s">
        <v>827</v>
      </c>
      <c r="O43" t="s">
        <v>671</v>
      </c>
      <c r="P43" t="s">
        <v>666</v>
      </c>
      <c r="Q43">
        <v>1</v>
      </c>
      <c r="R43" t="s">
        <v>670</v>
      </c>
      <c r="S43" t="s">
        <v>671</v>
      </c>
    </row>
    <row r="44" spans="1:19" x14ac:dyDescent="0.25">
      <c r="A44" t="s">
        <v>125</v>
      </c>
      <c r="B44" t="s">
        <v>3</v>
      </c>
      <c r="C44" t="s">
        <v>654</v>
      </c>
      <c r="D44" s="2" t="s">
        <v>650</v>
      </c>
      <c r="E44" t="str">
        <f>_xlfn.XLOOKUP(B44,Laitetyypit!A:A,Laitetyypit!B:B,"ei")</f>
        <v>Thingsee PRESENCE</v>
      </c>
      <c r="F44" t="s">
        <v>659</v>
      </c>
      <c r="G44" s="3">
        <v>0.9</v>
      </c>
      <c r="H44" s="2">
        <v>46164.537372685183</v>
      </c>
      <c r="L44">
        <v>112073212</v>
      </c>
      <c r="M44" t="s">
        <v>439</v>
      </c>
      <c r="N44" t="s">
        <v>827</v>
      </c>
      <c r="O44" t="s">
        <v>671</v>
      </c>
      <c r="P44" t="s">
        <v>666</v>
      </c>
      <c r="Q44">
        <v>1</v>
      </c>
      <c r="R44" t="s">
        <v>670</v>
      </c>
      <c r="S44" t="s">
        <v>671</v>
      </c>
    </row>
    <row r="45" spans="1:19" x14ac:dyDescent="0.25">
      <c r="A45" t="s">
        <v>42</v>
      </c>
      <c r="B45" t="s">
        <v>3</v>
      </c>
      <c r="C45" t="s">
        <v>654</v>
      </c>
      <c r="D45" s="2" t="s">
        <v>650</v>
      </c>
      <c r="E45" t="str">
        <f>_xlfn.XLOOKUP(B45,Laitetyypit!A:A,Laitetyypit!B:B,"ei")</f>
        <v>Thingsee PRESENCE</v>
      </c>
      <c r="F45" t="s">
        <v>659</v>
      </c>
      <c r="G45" s="3">
        <v>0.87</v>
      </c>
      <c r="H45" s="2">
        <v>46164.537407407406</v>
      </c>
      <c r="L45">
        <v>112073213</v>
      </c>
      <c r="M45" t="s">
        <v>440</v>
      </c>
      <c r="N45" t="s">
        <v>827</v>
      </c>
      <c r="O45" t="s">
        <v>671</v>
      </c>
      <c r="P45" t="s">
        <v>666</v>
      </c>
      <c r="Q45">
        <v>1</v>
      </c>
      <c r="R45" t="s">
        <v>670</v>
      </c>
      <c r="S45" t="s">
        <v>671</v>
      </c>
    </row>
    <row r="46" spans="1:19" x14ac:dyDescent="0.25">
      <c r="A46" t="s">
        <v>362</v>
      </c>
      <c r="B46" t="s">
        <v>3</v>
      </c>
      <c r="C46" t="s">
        <v>654</v>
      </c>
      <c r="D46" s="2" t="s">
        <v>650</v>
      </c>
      <c r="E46" t="str">
        <f>_xlfn.XLOOKUP(B46,Laitetyypit!A:A,Laitetyypit!B:B,"ei")</f>
        <v>Thingsee PRESENCE</v>
      </c>
      <c r="F46" t="s">
        <v>659</v>
      </c>
      <c r="G46" s="3">
        <v>0.84</v>
      </c>
      <c r="H46" s="2">
        <v>46164.554513888892</v>
      </c>
      <c r="L46">
        <v>112073214</v>
      </c>
      <c r="M46" t="s">
        <v>441</v>
      </c>
      <c r="N46" t="s">
        <v>827</v>
      </c>
      <c r="O46" t="s">
        <v>671</v>
      </c>
      <c r="P46" t="s">
        <v>666</v>
      </c>
      <c r="Q46">
        <v>1</v>
      </c>
      <c r="R46" t="s">
        <v>670</v>
      </c>
      <c r="S46" t="s">
        <v>671</v>
      </c>
    </row>
    <row r="47" spans="1:19" x14ac:dyDescent="0.25">
      <c r="A47" t="s">
        <v>360</v>
      </c>
      <c r="B47" t="s">
        <v>3</v>
      </c>
      <c r="C47" t="s">
        <v>654</v>
      </c>
      <c r="D47" s="2" t="s">
        <v>650</v>
      </c>
      <c r="E47" t="str">
        <f>_xlfn.XLOOKUP(B47,Laitetyypit!A:A,Laitetyypit!B:B,"ei")</f>
        <v>Thingsee PRESENCE</v>
      </c>
      <c r="F47" t="s">
        <v>659</v>
      </c>
      <c r="G47" s="3">
        <v>0.83</v>
      </c>
      <c r="H47" s="2">
        <v>46164.554131944446</v>
      </c>
      <c r="L47">
        <v>112073215</v>
      </c>
      <c r="M47" t="s">
        <v>442</v>
      </c>
      <c r="N47" t="s">
        <v>827</v>
      </c>
      <c r="O47" t="s">
        <v>671</v>
      </c>
      <c r="P47" t="s">
        <v>666</v>
      </c>
      <c r="Q47">
        <v>1</v>
      </c>
      <c r="R47" t="s">
        <v>670</v>
      </c>
      <c r="S47" t="s">
        <v>671</v>
      </c>
    </row>
    <row r="48" spans="1:19" x14ac:dyDescent="0.25">
      <c r="A48" t="s">
        <v>358</v>
      </c>
      <c r="B48" t="s">
        <v>3</v>
      </c>
      <c r="C48" t="s">
        <v>654</v>
      </c>
      <c r="D48" s="2" t="s">
        <v>650</v>
      </c>
      <c r="E48" t="str">
        <f>_xlfn.XLOOKUP(B48,Laitetyypit!A:A,Laitetyypit!B:B,"ei")</f>
        <v>Thingsee PRESENCE</v>
      </c>
      <c r="F48" t="s">
        <v>659</v>
      </c>
      <c r="G48" s="3">
        <v>0.83</v>
      </c>
      <c r="H48" s="2">
        <v>46164.546030092592</v>
      </c>
      <c r="L48">
        <v>112073216</v>
      </c>
      <c r="M48" t="s">
        <v>443</v>
      </c>
      <c r="N48" t="s">
        <v>827</v>
      </c>
      <c r="O48" t="s">
        <v>671</v>
      </c>
      <c r="P48" t="s">
        <v>666</v>
      </c>
      <c r="Q48">
        <v>1</v>
      </c>
      <c r="R48" t="s">
        <v>670</v>
      </c>
      <c r="S48" t="s">
        <v>671</v>
      </c>
    </row>
    <row r="49" spans="1:19" x14ac:dyDescent="0.25">
      <c r="A49" t="s">
        <v>359</v>
      </c>
      <c r="B49" t="s">
        <v>3</v>
      </c>
      <c r="C49" t="s">
        <v>654</v>
      </c>
      <c r="D49" s="2" t="s">
        <v>650</v>
      </c>
      <c r="E49" t="str">
        <f>_xlfn.XLOOKUP(B49,Laitetyypit!A:A,Laitetyypit!B:B,"ei")</f>
        <v>Thingsee PRESENCE</v>
      </c>
      <c r="F49" t="s">
        <v>659</v>
      </c>
      <c r="G49" s="3">
        <v>0.81</v>
      </c>
      <c r="H49" s="2">
        <v>46164.553888888891</v>
      </c>
      <c r="L49">
        <v>112073217</v>
      </c>
      <c r="M49" t="s">
        <v>444</v>
      </c>
      <c r="N49" t="s">
        <v>827</v>
      </c>
      <c r="O49" t="s">
        <v>671</v>
      </c>
      <c r="P49" t="s">
        <v>666</v>
      </c>
      <c r="Q49">
        <v>1</v>
      </c>
      <c r="R49" t="s">
        <v>670</v>
      </c>
      <c r="S49" t="s">
        <v>671</v>
      </c>
    </row>
    <row r="50" spans="1:19" x14ac:dyDescent="0.25">
      <c r="A50" t="s">
        <v>30</v>
      </c>
      <c r="B50" t="s">
        <v>3</v>
      </c>
      <c r="C50" t="s">
        <v>654</v>
      </c>
      <c r="D50" s="2" t="s">
        <v>650</v>
      </c>
      <c r="E50" t="str">
        <f>_xlfn.XLOOKUP(B50,Laitetyypit!A:A,Laitetyypit!B:B,"ei")</f>
        <v>Thingsee PRESENCE</v>
      </c>
      <c r="F50" t="s">
        <v>659</v>
      </c>
      <c r="G50" s="3">
        <v>0.9</v>
      </c>
      <c r="H50" s="2">
        <v>46164.536273148151</v>
      </c>
      <c r="L50">
        <v>112073218</v>
      </c>
      <c r="M50" t="s">
        <v>445</v>
      </c>
      <c r="N50" t="s">
        <v>827</v>
      </c>
      <c r="O50" t="s">
        <v>671</v>
      </c>
      <c r="P50" t="s">
        <v>666</v>
      </c>
      <c r="Q50">
        <v>1</v>
      </c>
      <c r="R50" t="s">
        <v>670</v>
      </c>
      <c r="S50" t="s">
        <v>671</v>
      </c>
    </row>
    <row r="51" spans="1:19" x14ac:dyDescent="0.25">
      <c r="A51" t="s">
        <v>141</v>
      </c>
      <c r="B51" t="s">
        <v>3</v>
      </c>
      <c r="C51" t="s">
        <v>654</v>
      </c>
      <c r="D51" s="2" t="s">
        <v>650</v>
      </c>
      <c r="E51" t="str">
        <f>_xlfn.XLOOKUP(B51,Laitetyypit!A:A,Laitetyypit!B:B,"ei")</f>
        <v>Thingsee PRESENCE</v>
      </c>
      <c r="F51" t="s">
        <v>659</v>
      </c>
      <c r="G51" s="3">
        <v>0.88</v>
      </c>
      <c r="H51" s="2">
        <v>46164.555451388886</v>
      </c>
      <c r="L51">
        <v>112073219</v>
      </c>
      <c r="M51" t="s">
        <v>446</v>
      </c>
      <c r="N51" t="s">
        <v>827</v>
      </c>
      <c r="O51" t="s">
        <v>671</v>
      </c>
      <c r="P51" t="s">
        <v>666</v>
      </c>
      <c r="Q51">
        <v>1</v>
      </c>
      <c r="R51" t="s">
        <v>670</v>
      </c>
      <c r="S51" t="s">
        <v>671</v>
      </c>
    </row>
    <row r="52" spans="1:19" x14ac:dyDescent="0.25">
      <c r="A52" t="s">
        <v>70</v>
      </c>
      <c r="B52" t="s">
        <v>3</v>
      </c>
      <c r="C52" t="s">
        <v>654</v>
      </c>
      <c r="D52" s="2" t="s">
        <v>650</v>
      </c>
      <c r="E52" t="str">
        <f>_xlfn.XLOOKUP(B52,Laitetyypit!A:A,Laitetyypit!B:B,"ei")</f>
        <v>Thingsee PRESENCE</v>
      </c>
      <c r="F52" t="s">
        <v>659</v>
      </c>
      <c r="G52" s="3">
        <v>0.88</v>
      </c>
      <c r="H52" s="2">
        <v>46164.55064814815</v>
      </c>
      <c r="L52">
        <v>112073220</v>
      </c>
      <c r="M52" t="s">
        <v>447</v>
      </c>
      <c r="N52" t="s">
        <v>827</v>
      </c>
      <c r="O52" t="s">
        <v>671</v>
      </c>
      <c r="P52" t="s">
        <v>666</v>
      </c>
      <c r="Q52">
        <v>1</v>
      </c>
      <c r="R52" t="s">
        <v>670</v>
      </c>
      <c r="S52" t="s">
        <v>671</v>
      </c>
    </row>
    <row r="53" spans="1:19" x14ac:dyDescent="0.25">
      <c r="A53" t="s">
        <v>98</v>
      </c>
      <c r="B53" t="s">
        <v>3</v>
      </c>
      <c r="C53" t="s">
        <v>654</v>
      </c>
      <c r="D53" s="2" t="s">
        <v>650</v>
      </c>
      <c r="E53" t="str">
        <f>_xlfn.XLOOKUP(B53,Laitetyypit!A:A,Laitetyypit!B:B,"ei")</f>
        <v>Thingsee PRESENCE</v>
      </c>
      <c r="F53" t="s">
        <v>659</v>
      </c>
      <c r="G53" s="3">
        <v>0.88</v>
      </c>
      <c r="H53" s="2">
        <v>46164.539444444446</v>
      </c>
      <c r="L53">
        <v>112073221</v>
      </c>
      <c r="M53" t="s">
        <v>448</v>
      </c>
      <c r="N53" t="s">
        <v>827</v>
      </c>
      <c r="O53" t="s">
        <v>671</v>
      </c>
      <c r="P53" t="s">
        <v>666</v>
      </c>
      <c r="Q53">
        <v>1</v>
      </c>
      <c r="R53" t="s">
        <v>670</v>
      </c>
      <c r="S53" t="s">
        <v>671</v>
      </c>
    </row>
    <row r="54" spans="1:19" x14ac:dyDescent="0.25">
      <c r="A54" t="s">
        <v>32</v>
      </c>
      <c r="B54" t="s">
        <v>3</v>
      </c>
      <c r="C54" t="s">
        <v>654</v>
      </c>
      <c r="D54" s="2" t="s">
        <v>650</v>
      </c>
      <c r="E54" t="str">
        <f>_xlfn.XLOOKUP(B54,Laitetyypit!A:A,Laitetyypit!B:B,"ei")</f>
        <v>Thingsee PRESENCE</v>
      </c>
      <c r="F54" t="s">
        <v>659</v>
      </c>
      <c r="G54" s="3">
        <v>0.88</v>
      </c>
      <c r="H54" s="2">
        <v>46164.542488425926</v>
      </c>
      <c r="L54">
        <v>112073222</v>
      </c>
      <c r="M54" t="s">
        <v>449</v>
      </c>
      <c r="N54" t="s">
        <v>827</v>
      </c>
      <c r="O54" t="s">
        <v>671</v>
      </c>
      <c r="P54" t="s">
        <v>666</v>
      </c>
      <c r="Q54">
        <v>1</v>
      </c>
      <c r="R54" t="s">
        <v>670</v>
      </c>
      <c r="S54" t="s">
        <v>671</v>
      </c>
    </row>
    <row r="55" spans="1:19" x14ac:dyDescent="0.25">
      <c r="A55" t="s">
        <v>120</v>
      </c>
      <c r="B55" t="s">
        <v>3</v>
      </c>
      <c r="C55" t="s">
        <v>654</v>
      </c>
      <c r="D55" s="2" t="s">
        <v>650</v>
      </c>
      <c r="E55" t="str">
        <f>_xlfn.XLOOKUP(B55,Laitetyypit!A:A,Laitetyypit!B:B,"ei")</f>
        <v>Thingsee PRESENCE</v>
      </c>
      <c r="F55" t="s">
        <v>659</v>
      </c>
      <c r="G55" s="3">
        <v>0.9</v>
      </c>
      <c r="H55" s="2">
        <v>46164.552361111113</v>
      </c>
      <c r="L55">
        <v>112073223</v>
      </c>
      <c r="M55" t="s">
        <v>450</v>
      </c>
      <c r="N55" t="s">
        <v>827</v>
      </c>
      <c r="O55" t="s">
        <v>671</v>
      </c>
      <c r="P55" t="s">
        <v>666</v>
      </c>
      <c r="Q55">
        <v>1</v>
      </c>
      <c r="R55" t="s">
        <v>670</v>
      </c>
      <c r="S55" t="s">
        <v>671</v>
      </c>
    </row>
    <row r="56" spans="1:19" x14ac:dyDescent="0.25">
      <c r="A56" t="s">
        <v>76</v>
      </c>
      <c r="B56" t="s">
        <v>3</v>
      </c>
      <c r="C56" t="s">
        <v>654</v>
      </c>
      <c r="D56" s="2" t="s">
        <v>650</v>
      </c>
      <c r="E56" t="str">
        <f>_xlfn.XLOOKUP(B56,Laitetyypit!A:A,Laitetyypit!B:B,"ei")</f>
        <v>Thingsee PRESENCE</v>
      </c>
      <c r="F56" t="s">
        <v>659</v>
      </c>
      <c r="G56" s="3">
        <v>0.85</v>
      </c>
      <c r="H56" s="2">
        <v>46164.544687499998</v>
      </c>
      <c r="L56">
        <v>112073224</v>
      </c>
      <c r="M56" t="s">
        <v>451</v>
      </c>
      <c r="N56" t="s">
        <v>827</v>
      </c>
      <c r="O56" t="s">
        <v>671</v>
      </c>
      <c r="P56" t="s">
        <v>666</v>
      </c>
      <c r="Q56">
        <v>1</v>
      </c>
      <c r="R56" t="s">
        <v>670</v>
      </c>
      <c r="S56" t="s">
        <v>671</v>
      </c>
    </row>
    <row r="57" spans="1:19" x14ac:dyDescent="0.25">
      <c r="A57" t="s">
        <v>122</v>
      </c>
      <c r="B57" t="s">
        <v>3</v>
      </c>
      <c r="C57" t="s">
        <v>654</v>
      </c>
      <c r="D57" s="2" t="s">
        <v>650</v>
      </c>
      <c r="E57" t="str">
        <f>_xlfn.XLOOKUP(B57,Laitetyypit!A:A,Laitetyypit!B:B,"ei")</f>
        <v>Thingsee PRESENCE</v>
      </c>
      <c r="F57" t="s">
        <v>659</v>
      </c>
      <c r="G57" s="3">
        <v>0.9</v>
      </c>
      <c r="H57" s="2">
        <v>46164.549351851849</v>
      </c>
      <c r="L57">
        <v>112073225</v>
      </c>
      <c r="M57" t="s">
        <v>452</v>
      </c>
      <c r="N57" t="s">
        <v>827</v>
      </c>
      <c r="O57" t="s">
        <v>671</v>
      </c>
      <c r="P57" t="s">
        <v>666</v>
      </c>
      <c r="Q57">
        <v>1</v>
      </c>
      <c r="R57" t="s">
        <v>670</v>
      </c>
      <c r="S57" t="s">
        <v>671</v>
      </c>
    </row>
    <row r="58" spans="1:19" x14ac:dyDescent="0.25">
      <c r="A58" t="s">
        <v>126</v>
      </c>
      <c r="B58" t="s">
        <v>3</v>
      </c>
      <c r="C58" t="s">
        <v>654</v>
      </c>
      <c r="D58" s="2" t="s">
        <v>650</v>
      </c>
      <c r="E58" t="str">
        <f>_xlfn.XLOOKUP(B58,Laitetyypit!A:A,Laitetyypit!B:B,"ei")</f>
        <v>Thingsee PRESENCE</v>
      </c>
      <c r="F58" t="s">
        <v>659</v>
      </c>
      <c r="G58" s="3">
        <v>0.87</v>
      </c>
      <c r="H58" s="2">
        <v>46164.543055555558</v>
      </c>
      <c r="L58">
        <v>112073226</v>
      </c>
      <c r="M58" t="s">
        <v>453</v>
      </c>
      <c r="N58" t="s">
        <v>827</v>
      </c>
      <c r="O58" t="s">
        <v>671</v>
      </c>
      <c r="P58" t="s">
        <v>666</v>
      </c>
      <c r="Q58">
        <v>1</v>
      </c>
      <c r="R58" t="s">
        <v>670</v>
      </c>
      <c r="S58" t="s">
        <v>671</v>
      </c>
    </row>
    <row r="59" spans="1:19" x14ac:dyDescent="0.25">
      <c r="A59" t="s">
        <v>137</v>
      </c>
      <c r="B59" t="s">
        <v>3</v>
      </c>
      <c r="C59" t="s">
        <v>654</v>
      </c>
      <c r="D59" s="2" t="s">
        <v>650</v>
      </c>
      <c r="E59" t="str">
        <f>_xlfn.XLOOKUP(B59,Laitetyypit!A:A,Laitetyypit!B:B,"ei")</f>
        <v>Thingsee PRESENCE</v>
      </c>
      <c r="F59" t="s">
        <v>659</v>
      </c>
      <c r="G59" s="3">
        <v>0.86</v>
      </c>
      <c r="H59" s="2">
        <v>46164.538645833331</v>
      </c>
      <c r="L59">
        <v>112073227</v>
      </c>
      <c r="M59" t="s">
        <v>454</v>
      </c>
      <c r="N59" t="s">
        <v>827</v>
      </c>
      <c r="O59" t="s">
        <v>671</v>
      </c>
      <c r="P59" t="s">
        <v>666</v>
      </c>
      <c r="Q59">
        <v>1</v>
      </c>
      <c r="R59" t="s">
        <v>670</v>
      </c>
      <c r="S59" t="s">
        <v>671</v>
      </c>
    </row>
    <row r="60" spans="1:19" x14ac:dyDescent="0.25">
      <c r="A60" t="s">
        <v>133</v>
      </c>
      <c r="B60" t="s">
        <v>3</v>
      </c>
      <c r="C60" t="s">
        <v>654</v>
      </c>
      <c r="D60" s="2" t="s">
        <v>650</v>
      </c>
      <c r="E60" t="str">
        <f>_xlfn.XLOOKUP(B60,Laitetyypit!A:A,Laitetyypit!B:B,"ei")</f>
        <v>Thingsee PRESENCE</v>
      </c>
      <c r="F60" t="s">
        <v>659</v>
      </c>
      <c r="G60" s="3">
        <v>0.85</v>
      </c>
      <c r="H60" s="2">
        <v>46164.538703703707</v>
      </c>
      <c r="L60">
        <v>112073228</v>
      </c>
      <c r="M60" t="s">
        <v>455</v>
      </c>
      <c r="N60" t="s">
        <v>827</v>
      </c>
      <c r="O60" t="s">
        <v>671</v>
      </c>
      <c r="P60" t="s">
        <v>666</v>
      </c>
      <c r="Q60">
        <v>1</v>
      </c>
      <c r="R60" t="s">
        <v>670</v>
      </c>
      <c r="S60" t="s">
        <v>671</v>
      </c>
    </row>
    <row r="61" spans="1:19" x14ac:dyDescent="0.25">
      <c r="A61" t="s">
        <v>6</v>
      </c>
      <c r="B61" t="s">
        <v>3</v>
      </c>
      <c r="C61" t="s">
        <v>654</v>
      </c>
      <c r="D61" s="2" t="s">
        <v>650</v>
      </c>
      <c r="E61" t="str">
        <f>_xlfn.XLOOKUP(B61,Laitetyypit!A:A,Laitetyypit!B:B,"ei")</f>
        <v>Thingsee PRESENCE</v>
      </c>
      <c r="F61" t="s">
        <v>659</v>
      </c>
      <c r="G61" s="3">
        <v>0.85</v>
      </c>
      <c r="H61" s="2">
        <v>46164.546805555554</v>
      </c>
      <c r="L61">
        <v>112073229</v>
      </c>
      <c r="M61" t="s">
        <v>393</v>
      </c>
      <c r="N61" t="s">
        <v>827</v>
      </c>
      <c r="O61" t="s">
        <v>671</v>
      </c>
      <c r="P61" t="s">
        <v>666</v>
      </c>
      <c r="Q61">
        <v>1</v>
      </c>
      <c r="R61" t="s">
        <v>670</v>
      </c>
      <c r="S61" t="s">
        <v>671</v>
      </c>
    </row>
    <row r="62" spans="1:19" x14ac:dyDescent="0.25">
      <c r="A62" t="s">
        <v>93</v>
      </c>
      <c r="B62" t="s">
        <v>3</v>
      </c>
      <c r="C62" t="s">
        <v>654</v>
      </c>
      <c r="D62" s="2" t="s">
        <v>650</v>
      </c>
      <c r="E62" t="str">
        <f>_xlfn.XLOOKUP(B62,Laitetyypit!A:A,Laitetyypit!B:B,"ei")</f>
        <v>Thingsee PRESENCE</v>
      </c>
      <c r="F62" t="s">
        <v>659</v>
      </c>
      <c r="G62" s="3">
        <v>0.86</v>
      </c>
      <c r="H62" s="2">
        <v>46164.545474537037</v>
      </c>
      <c r="L62">
        <v>112073230</v>
      </c>
      <c r="M62" t="s">
        <v>456</v>
      </c>
      <c r="N62" t="s">
        <v>827</v>
      </c>
      <c r="O62" t="s">
        <v>671</v>
      </c>
      <c r="P62" t="s">
        <v>666</v>
      </c>
      <c r="Q62">
        <v>1</v>
      </c>
      <c r="R62" t="s">
        <v>670</v>
      </c>
      <c r="S62" t="s">
        <v>671</v>
      </c>
    </row>
    <row r="63" spans="1:19" x14ac:dyDescent="0.25">
      <c r="A63" t="s">
        <v>361</v>
      </c>
      <c r="B63" t="s">
        <v>3</v>
      </c>
      <c r="C63" t="s">
        <v>654</v>
      </c>
      <c r="D63" s="2" t="s">
        <v>650</v>
      </c>
      <c r="E63" t="str">
        <f>_xlfn.XLOOKUP(B63,Laitetyypit!A:A,Laitetyypit!B:B,"ei")</f>
        <v>Thingsee PRESENCE</v>
      </c>
      <c r="F63" t="s">
        <v>659</v>
      </c>
      <c r="G63" s="3">
        <v>0.87</v>
      </c>
      <c r="H63" s="2">
        <v>46164.546898148146</v>
      </c>
      <c r="L63">
        <v>112073231</v>
      </c>
      <c r="M63" t="s">
        <v>457</v>
      </c>
      <c r="N63" t="s">
        <v>827</v>
      </c>
      <c r="O63" t="s">
        <v>671</v>
      </c>
      <c r="P63" t="s">
        <v>666</v>
      </c>
      <c r="Q63">
        <v>1</v>
      </c>
      <c r="R63" t="s">
        <v>670</v>
      </c>
      <c r="S63" t="s">
        <v>671</v>
      </c>
    </row>
    <row r="64" spans="1:19" x14ac:dyDescent="0.25">
      <c r="A64" t="s">
        <v>92</v>
      </c>
      <c r="B64" t="s">
        <v>3</v>
      </c>
      <c r="C64" t="s">
        <v>654</v>
      </c>
      <c r="D64" s="2" t="s">
        <v>650</v>
      </c>
      <c r="E64" t="str">
        <f>_xlfn.XLOOKUP(B64,Laitetyypit!A:A,Laitetyypit!B:B,"ei")</f>
        <v>Thingsee PRESENCE</v>
      </c>
      <c r="F64" t="s">
        <v>659</v>
      </c>
      <c r="G64" s="3">
        <v>0.87</v>
      </c>
      <c r="H64" s="2">
        <v>46164.547569444447</v>
      </c>
      <c r="L64">
        <v>112073232</v>
      </c>
      <c r="M64" t="s">
        <v>458</v>
      </c>
      <c r="N64" t="s">
        <v>827</v>
      </c>
      <c r="O64" t="s">
        <v>671</v>
      </c>
      <c r="P64" t="s">
        <v>666</v>
      </c>
      <c r="Q64">
        <v>1</v>
      </c>
      <c r="R64" t="s">
        <v>670</v>
      </c>
      <c r="S64" t="s">
        <v>671</v>
      </c>
    </row>
    <row r="65" spans="1:19" x14ac:dyDescent="0.25">
      <c r="A65" t="s">
        <v>29</v>
      </c>
      <c r="B65" t="s">
        <v>3</v>
      </c>
      <c r="C65" t="s">
        <v>654</v>
      </c>
      <c r="D65" s="2" t="s">
        <v>650</v>
      </c>
      <c r="E65" t="str">
        <f>_xlfn.XLOOKUP(B65,Laitetyypit!A:A,Laitetyypit!B:B,"ei")</f>
        <v>Thingsee PRESENCE</v>
      </c>
      <c r="F65" t="s">
        <v>659</v>
      </c>
      <c r="G65" s="3">
        <v>0.87</v>
      </c>
      <c r="H65" s="2">
        <v>46164.548750000002</v>
      </c>
      <c r="L65">
        <v>112073233</v>
      </c>
      <c r="M65" t="s">
        <v>459</v>
      </c>
      <c r="N65" t="s">
        <v>827</v>
      </c>
      <c r="O65" t="s">
        <v>671</v>
      </c>
      <c r="P65" t="s">
        <v>666</v>
      </c>
      <c r="Q65">
        <v>1</v>
      </c>
      <c r="R65" t="s">
        <v>670</v>
      </c>
      <c r="S65" t="s">
        <v>671</v>
      </c>
    </row>
    <row r="66" spans="1:19" x14ac:dyDescent="0.25">
      <c r="A66" t="s">
        <v>134</v>
      </c>
      <c r="B66" t="s">
        <v>3</v>
      </c>
      <c r="C66" t="s">
        <v>654</v>
      </c>
      <c r="D66" s="2" t="s">
        <v>650</v>
      </c>
      <c r="E66" t="str">
        <f>_xlfn.XLOOKUP(B66,Laitetyypit!A:A,Laitetyypit!B:B,"ei")</f>
        <v>Thingsee PRESENCE</v>
      </c>
      <c r="F66" t="s">
        <v>659</v>
      </c>
      <c r="G66" s="3">
        <v>0.88</v>
      </c>
      <c r="H66" s="2">
        <v>46164.539131944446</v>
      </c>
      <c r="L66">
        <v>112073234</v>
      </c>
      <c r="M66" t="s">
        <v>460</v>
      </c>
      <c r="N66" t="s">
        <v>827</v>
      </c>
      <c r="O66" t="s">
        <v>671</v>
      </c>
      <c r="P66" t="s">
        <v>666</v>
      </c>
      <c r="Q66">
        <v>1</v>
      </c>
      <c r="R66" t="s">
        <v>670</v>
      </c>
      <c r="S66" t="s">
        <v>671</v>
      </c>
    </row>
    <row r="67" spans="1:19" x14ac:dyDescent="0.25">
      <c r="A67" t="s">
        <v>110</v>
      </c>
      <c r="B67" t="s">
        <v>3</v>
      </c>
      <c r="C67" t="s">
        <v>654</v>
      </c>
      <c r="D67" s="2" t="s">
        <v>650</v>
      </c>
      <c r="E67" t="str">
        <f>_xlfn.XLOOKUP(B67,Laitetyypit!A:A,Laitetyypit!B:B,"ei")</f>
        <v>Thingsee PRESENCE</v>
      </c>
      <c r="F67" t="s">
        <v>659</v>
      </c>
      <c r="G67" s="3">
        <v>0.84</v>
      </c>
      <c r="H67" s="2">
        <v>46164.538368055553</v>
      </c>
      <c r="L67">
        <v>112073235</v>
      </c>
      <c r="M67" t="s">
        <v>461</v>
      </c>
      <c r="N67" t="s">
        <v>827</v>
      </c>
      <c r="O67" t="s">
        <v>671</v>
      </c>
      <c r="P67" t="s">
        <v>666</v>
      </c>
      <c r="Q67">
        <v>1</v>
      </c>
      <c r="R67" t="s">
        <v>670</v>
      </c>
      <c r="S67" t="s">
        <v>671</v>
      </c>
    </row>
    <row r="68" spans="1:19" x14ac:dyDescent="0.25">
      <c r="A68" t="s">
        <v>34</v>
      </c>
      <c r="B68" t="s">
        <v>3</v>
      </c>
      <c r="C68" t="s">
        <v>654</v>
      </c>
      <c r="D68" s="2" t="s">
        <v>650</v>
      </c>
      <c r="E68" t="str">
        <f>_xlfn.XLOOKUP(B68,Laitetyypit!A:A,Laitetyypit!B:B,"ei")</f>
        <v>Thingsee PRESENCE</v>
      </c>
      <c r="F68" t="s">
        <v>659</v>
      </c>
      <c r="G68" s="3">
        <v>0.86</v>
      </c>
      <c r="H68" s="2">
        <v>46164.55091435185</v>
      </c>
      <c r="L68">
        <v>112073236</v>
      </c>
      <c r="M68" t="s">
        <v>462</v>
      </c>
      <c r="N68" t="s">
        <v>827</v>
      </c>
      <c r="O68" t="s">
        <v>671</v>
      </c>
      <c r="P68" t="s">
        <v>666</v>
      </c>
      <c r="Q68">
        <v>1</v>
      </c>
      <c r="R68" t="s">
        <v>670</v>
      </c>
      <c r="S68" t="s">
        <v>671</v>
      </c>
    </row>
    <row r="69" spans="1:19" x14ac:dyDescent="0.25">
      <c r="A69" t="s">
        <v>162</v>
      </c>
      <c r="B69" t="s">
        <v>3</v>
      </c>
      <c r="C69" t="s">
        <v>654</v>
      </c>
      <c r="D69" s="2" t="s">
        <v>650</v>
      </c>
      <c r="E69" t="str">
        <f>_xlfn.XLOOKUP(B69,Laitetyypit!A:A,Laitetyypit!B:B,"ei")</f>
        <v>Thingsee PRESENCE</v>
      </c>
      <c r="F69" t="s">
        <v>659</v>
      </c>
      <c r="G69" s="3">
        <v>0.84</v>
      </c>
      <c r="H69" s="2">
        <v>46164.541342592594</v>
      </c>
      <c r="L69">
        <v>112073237</v>
      </c>
      <c r="M69" t="s">
        <v>463</v>
      </c>
      <c r="N69" t="s">
        <v>827</v>
      </c>
      <c r="O69" t="s">
        <v>671</v>
      </c>
      <c r="P69" t="s">
        <v>666</v>
      </c>
      <c r="Q69">
        <v>1</v>
      </c>
      <c r="R69" t="s">
        <v>670</v>
      </c>
      <c r="S69" t="s">
        <v>671</v>
      </c>
    </row>
    <row r="70" spans="1:19" x14ac:dyDescent="0.25">
      <c r="A70" t="s">
        <v>77</v>
      </c>
      <c r="B70" t="s">
        <v>3</v>
      </c>
      <c r="C70" t="s">
        <v>654</v>
      </c>
      <c r="D70" s="2" t="s">
        <v>650</v>
      </c>
      <c r="E70" t="str">
        <f>_xlfn.XLOOKUP(B70,Laitetyypit!A:A,Laitetyypit!B:B,"ei")</f>
        <v>Thingsee PRESENCE</v>
      </c>
      <c r="F70" t="s">
        <v>659</v>
      </c>
      <c r="G70" s="3">
        <v>0.86</v>
      </c>
      <c r="H70" s="2">
        <v>46164.555659722224</v>
      </c>
      <c r="L70">
        <v>112073238</v>
      </c>
      <c r="M70" t="s">
        <v>464</v>
      </c>
      <c r="N70" t="s">
        <v>827</v>
      </c>
      <c r="O70" t="s">
        <v>671</v>
      </c>
      <c r="P70" t="s">
        <v>666</v>
      </c>
      <c r="Q70">
        <v>1</v>
      </c>
      <c r="R70" t="s">
        <v>670</v>
      </c>
      <c r="S70" t="s">
        <v>671</v>
      </c>
    </row>
    <row r="71" spans="1:19" x14ac:dyDescent="0.25">
      <c r="A71" t="s">
        <v>154</v>
      </c>
      <c r="B71" t="s">
        <v>3</v>
      </c>
      <c r="C71" t="s">
        <v>654</v>
      </c>
      <c r="D71" s="2" t="s">
        <v>650</v>
      </c>
      <c r="E71" t="str">
        <f>_xlfn.XLOOKUP(B71,Laitetyypit!A:A,Laitetyypit!B:B,"ei")</f>
        <v>Thingsee PRESENCE</v>
      </c>
      <c r="F71" t="s">
        <v>659</v>
      </c>
      <c r="G71" s="3">
        <v>0.86</v>
      </c>
      <c r="H71" s="2">
        <v>46164.540150462963</v>
      </c>
      <c r="L71">
        <v>112073239</v>
      </c>
      <c r="M71" t="s">
        <v>465</v>
      </c>
      <c r="N71" t="s">
        <v>827</v>
      </c>
      <c r="O71" t="s">
        <v>671</v>
      </c>
      <c r="P71" t="s">
        <v>666</v>
      </c>
      <c r="Q71">
        <v>1</v>
      </c>
      <c r="R71" t="s">
        <v>670</v>
      </c>
      <c r="S71" t="s">
        <v>671</v>
      </c>
    </row>
    <row r="72" spans="1:19" x14ac:dyDescent="0.25">
      <c r="A72" t="s">
        <v>121</v>
      </c>
      <c r="B72" t="s">
        <v>3</v>
      </c>
      <c r="C72" t="s">
        <v>654</v>
      </c>
      <c r="D72" s="2" t="s">
        <v>650</v>
      </c>
      <c r="E72" t="str">
        <f>_xlfn.XLOOKUP(B72,Laitetyypit!A:A,Laitetyypit!B:B,"ei")</f>
        <v>Thingsee PRESENCE</v>
      </c>
      <c r="F72" t="s">
        <v>659</v>
      </c>
      <c r="G72" s="3">
        <v>0.9</v>
      </c>
      <c r="H72" s="2">
        <v>46164.551562499997</v>
      </c>
      <c r="L72">
        <v>112073240</v>
      </c>
      <c r="M72" t="s">
        <v>466</v>
      </c>
      <c r="N72" t="s">
        <v>827</v>
      </c>
      <c r="O72" t="s">
        <v>671</v>
      </c>
      <c r="P72" t="s">
        <v>666</v>
      </c>
      <c r="Q72">
        <v>1</v>
      </c>
      <c r="R72" t="s">
        <v>670</v>
      </c>
      <c r="S72" t="s">
        <v>671</v>
      </c>
    </row>
    <row r="73" spans="1:19" x14ac:dyDescent="0.25">
      <c r="A73" t="s">
        <v>4</v>
      </c>
      <c r="B73" t="s">
        <v>3</v>
      </c>
      <c r="C73" t="s">
        <v>654</v>
      </c>
      <c r="D73" s="2" t="s">
        <v>650</v>
      </c>
      <c r="E73" t="str">
        <f>_xlfn.XLOOKUP(B73,Laitetyypit!A:A,Laitetyypit!B:B,"ei")</f>
        <v>Thingsee PRESENCE</v>
      </c>
      <c r="F73" t="s">
        <v>659</v>
      </c>
      <c r="G73" s="3">
        <v>0.87</v>
      </c>
      <c r="H73" s="2">
        <v>46164.555798611109</v>
      </c>
      <c r="L73">
        <v>112073241</v>
      </c>
      <c r="M73" t="s">
        <v>391</v>
      </c>
      <c r="N73" t="s">
        <v>827</v>
      </c>
      <c r="O73" t="s">
        <v>671</v>
      </c>
      <c r="P73" t="s">
        <v>666</v>
      </c>
      <c r="Q73">
        <v>1</v>
      </c>
      <c r="R73" t="s">
        <v>670</v>
      </c>
      <c r="S73" t="s">
        <v>671</v>
      </c>
    </row>
    <row r="74" spans="1:19" x14ac:dyDescent="0.25">
      <c r="A74" t="s">
        <v>129</v>
      </c>
      <c r="B74" t="s">
        <v>3</v>
      </c>
      <c r="C74" t="s">
        <v>654</v>
      </c>
      <c r="D74" s="2" t="s">
        <v>650</v>
      </c>
      <c r="E74" t="str">
        <f>_xlfn.XLOOKUP(B74,Laitetyypit!A:A,Laitetyypit!B:B,"ei")</f>
        <v>Thingsee PRESENCE</v>
      </c>
      <c r="F74" t="s">
        <v>659</v>
      </c>
      <c r="G74" s="3">
        <v>0.85</v>
      </c>
      <c r="H74" s="2">
        <v>46164.548067129632</v>
      </c>
      <c r="L74">
        <v>112073242</v>
      </c>
      <c r="M74" t="s">
        <v>467</v>
      </c>
      <c r="N74" t="s">
        <v>827</v>
      </c>
      <c r="O74" t="s">
        <v>671</v>
      </c>
      <c r="P74" t="s">
        <v>666</v>
      </c>
      <c r="Q74">
        <v>1</v>
      </c>
      <c r="R74" t="s">
        <v>670</v>
      </c>
      <c r="S74" t="s">
        <v>671</v>
      </c>
    </row>
    <row r="75" spans="1:19" x14ac:dyDescent="0.25">
      <c r="A75" t="s">
        <v>113</v>
      </c>
      <c r="B75" t="s">
        <v>3</v>
      </c>
      <c r="C75" t="s">
        <v>654</v>
      </c>
      <c r="D75" s="2" t="s">
        <v>650</v>
      </c>
      <c r="E75" t="str">
        <f>_xlfn.XLOOKUP(B75,Laitetyypit!A:A,Laitetyypit!B:B,"ei")</f>
        <v>Thingsee PRESENCE</v>
      </c>
      <c r="F75" t="s">
        <v>659</v>
      </c>
      <c r="G75" s="3">
        <v>0.86</v>
      </c>
      <c r="H75" s="2">
        <v>46164.552800925929</v>
      </c>
      <c r="L75">
        <v>112073243</v>
      </c>
      <c r="M75" t="s">
        <v>468</v>
      </c>
      <c r="N75" t="s">
        <v>827</v>
      </c>
      <c r="O75" t="s">
        <v>671</v>
      </c>
      <c r="P75" t="s">
        <v>666</v>
      </c>
      <c r="Q75">
        <v>1</v>
      </c>
      <c r="R75" t="s">
        <v>670</v>
      </c>
      <c r="S75" t="s">
        <v>671</v>
      </c>
    </row>
    <row r="76" spans="1:19" x14ac:dyDescent="0.25">
      <c r="A76" t="s">
        <v>116</v>
      </c>
      <c r="B76" t="s">
        <v>3</v>
      </c>
      <c r="C76" t="s">
        <v>654</v>
      </c>
      <c r="D76" s="2" t="s">
        <v>650</v>
      </c>
      <c r="E76" t="str">
        <f>_xlfn.XLOOKUP(B76,Laitetyypit!A:A,Laitetyypit!B:B,"ei")</f>
        <v>Thingsee PRESENCE</v>
      </c>
      <c r="F76" t="s">
        <v>659</v>
      </c>
      <c r="G76" s="3">
        <v>0.87</v>
      </c>
      <c r="H76" s="2">
        <v>46164.553287037037</v>
      </c>
      <c r="L76">
        <v>112073244</v>
      </c>
      <c r="M76" t="s">
        <v>469</v>
      </c>
      <c r="N76" t="s">
        <v>827</v>
      </c>
      <c r="O76" t="s">
        <v>671</v>
      </c>
      <c r="P76" t="s">
        <v>666</v>
      </c>
      <c r="Q76">
        <v>1</v>
      </c>
      <c r="R76" t="s">
        <v>670</v>
      </c>
      <c r="S76" t="s">
        <v>671</v>
      </c>
    </row>
    <row r="77" spans="1:19" x14ac:dyDescent="0.25">
      <c r="A77" t="s">
        <v>356</v>
      </c>
      <c r="B77" t="s">
        <v>3</v>
      </c>
      <c r="C77" t="s">
        <v>654</v>
      </c>
      <c r="D77" s="2" t="s">
        <v>650</v>
      </c>
      <c r="E77" t="str">
        <f>_xlfn.XLOOKUP(B77,Laitetyypit!A:A,Laitetyypit!B:B,"ei")</f>
        <v>Thingsee PRESENCE</v>
      </c>
      <c r="F77" t="s">
        <v>659</v>
      </c>
      <c r="G77" s="3">
        <v>0.87</v>
      </c>
      <c r="H77" s="2">
        <v>46164.541967592595</v>
      </c>
      <c r="L77">
        <v>112073245</v>
      </c>
      <c r="M77" t="s">
        <v>470</v>
      </c>
      <c r="N77" t="s">
        <v>827</v>
      </c>
      <c r="O77" t="s">
        <v>671</v>
      </c>
      <c r="P77" t="s">
        <v>666</v>
      </c>
      <c r="Q77">
        <v>1</v>
      </c>
      <c r="R77" t="s">
        <v>670</v>
      </c>
      <c r="S77" t="s">
        <v>671</v>
      </c>
    </row>
    <row r="78" spans="1:19" x14ac:dyDescent="0.25">
      <c r="A78" t="s">
        <v>357</v>
      </c>
      <c r="B78" t="s">
        <v>3</v>
      </c>
      <c r="C78" t="s">
        <v>654</v>
      </c>
      <c r="D78" s="2" t="s">
        <v>650</v>
      </c>
      <c r="E78" t="str">
        <f>_xlfn.XLOOKUP(B78,Laitetyypit!A:A,Laitetyypit!B:B,"ei")</f>
        <v>Thingsee PRESENCE</v>
      </c>
      <c r="F78" t="s">
        <v>659</v>
      </c>
      <c r="G78" s="3">
        <v>0.87</v>
      </c>
      <c r="H78" s="2">
        <v>46164.55064814815</v>
      </c>
      <c r="L78">
        <v>112073246</v>
      </c>
      <c r="M78" t="s">
        <v>471</v>
      </c>
      <c r="N78" t="s">
        <v>827</v>
      </c>
      <c r="O78" t="s">
        <v>671</v>
      </c>
      <c r="P78" t="s">
        <v>666</v>
      </c>
      <c r="Q78">
        <v>1</v>
      </c>
      <c r="R78" t="s">
        <v>670</v>
      </c>
      <c r="S78" t="s">
        <v>671</v>
      </c>
    </row>
    <row r="79" spans="1:19" x14ac:dyDescent="0.25">
      <c r="A79" t="s">
        <v>50</v>
      </c>
      <c r="B79" t="s">
        <v>3</v>
      </c>
      <c r="C79" t="s">
        <v>654</v>
      </c>
      <c r="D79" s="2" t="s">
        <v>650</v>
      </c>
      <c r="E79" t="str">
        <f>_xlfn.XLOOKUP(B79,Laitetyypit!A:A,Laitetyypit!B:B,"ei")</f>
        <v>Thingsee PRESENCE</v>
      </c>
      <c r="F79" t="s">
        <v>659</v>
      </c>
      <c r="G79" s="3">
        <v>0.86</v>
      </c>
      <c r="H79" s="2">
        <v>46164.547708333332</v>
      </c>
      <c r="L79">
        <v>112073247</v>
      </c>
      <c r="M79" t="s">
        <v>472</v>
      </c>
      <c r="N79" t="s">
        <v>827</v>
      </c>
      <c r="O79" t="s">
        <v>671</v>
      </c>
      <c r="P79" t="s">
        <v>666</v>
      </c>
      <c r="Q79">
        <v>1</v>
      </c>
      <c r="R79" t="s">
        <v>670</v>
      </c>
      <c r="S79" t="s">
        <v>671</v>
      </c>
    </row>
    <row r="80" spans="1:19" x14ac:dyDescent="0.25">
      <c r="A80" t="s">
        <v>107</v>
      </c>
      <c r="B80" t="s">
        <v>3</v>
      </c>
      <c r="C80" t="s">
        <v>654</v>
      </c>
      <c r="D80" s="2" t="s">
        <v>650</v>
      </c>
      <c r="E80" t="str">
        <f>_xlfn.XLOOKUP(B80,Laitetyypit!A:A,Laitetyypit!B:B,"ei")</f>
        <v>Thingsee PRESENCE</v>
      </c>
      <c r="F80" t="s">
        <v>659</v>
      </c>
      <c r="G80" s="3">
        <v>0.86</v>
      </c>
      <c r="H80" s="2">
        <v>46164.540960648148</v>
      </c>
      <c r="L80">
        <v>112073248</v>
      </c>
      <c r="M80" t="s">
        <v>473</v>
      </c>
      <c r="N80" t="s">
        <v>827</v>
      </c>
      <c r="O80" t="s">
        <v>671</v>
      </c>
      <c r="P80" t="s">
        <v>666</v>
      </c>
      <c r="Q80">
        <v>1</v>
      </c>
      <c r="R80" t="s">
        <v>670</v>
      </c>
      <c r="S80" t="s">
        <v>671</v>
      </c>
    </row>
    <row r="81" spans="1:19" x14ac:dyDescent="0.25">
      <c r="A81" t="s">
        <v>150</v>
      </c>
      <c r="B81" t="s">
        <v>3</v>
      </c>
      <c r="C81" t="s">
        <v>654</v>
      </c>
      <c r="D81" s="2" t="s">
        <v>650</v>
      </c>
      <c r="E81" t="str">
        <f>_xlfn.XLOOKUP(B81,Laitetyypit!A:A,Laitetyypit!B:B,"ei")</f>
        <v>Thingsee PRESENCE</v>
      </c>
      <c r="F81" t="s">
        <v>659</v>
      </c>
      <c r="G81" s="3">
        <v>0.85</v>
      </c>
      <c r="H81" s="2">
        <v>46164.549224537041</v>
      </c>
      <c r="L81">
        <v>112073249</v>
      </c>
      <c r="M81" t="s">
        <v>474</v>
      </c>
      <c r="N81" t="s">
        <v>827</v>
      </c>
      <c r="O81" t="s">
        <v>671</v>
      </c>
      <c r="P81" t="s">
        <v>666</v>
      </c>
      <c r="Q81">
        <v>1</v>
      </c>
      <c r="R81" t="s">
        <v>670</v>
      </c>
      <c r="S81" t="s">
        <v>671</v>
      </c>
    </row>
    <row r="82" spans="1:19" x14ac:dyDescent="0.25">
      <c r="A82" t="s">
        <v>44</v>
      </c>
      <c r="B82" t="s">
        <v>3</v>
      </c>
      <c r="C82" t="s">
        <v>654</v>
      </c>
      <c r="D82" s="2" t="s">
        <v>650</v>
      </c>
      <c r="E82" t="str">
        <f>_xlfn.XLOOKUP(B82,Laitetyypit!A:A,Laitetyypit!B:B,"ei")</f>
        <v>Thingsee PRESENCE</v>
      </c>
      <c r="F82" t="s">
        <v>659</v>
      </c>
      <c r="G82" s="3">
        <v>0.85</v>
      </c>
      <c r="H82" s="2">
        <v>46164.546307870369</v>
      </c>
      <c r="L82">
        <v>112073250</v>
      </c>
      <c r="M82" t="s">
        <v>475</v>
      </c>
      <c r="N82" t="s">
        <v>827</v>
      </c>
      <c r="O82" t="s">
        <v>671</v>
      </c>
      <c r="P82" t="s">
        <v>666</v>
      </c>
      <c r="Q82">
        <v>1</v>
      </c>
      <c r="R82" t="s">
        <v>670</v>
      </c>
      <c r="S82" t="s">
        <v>671</v>
      </c>
    </row>
    <row r="83" spans="1:19" x14ac:dyDescent="0.25">
      <c r="A83" t="s">
        <v>71</v>
      </c>
      <c r="B83" t="s">
        <v>3</v>
      </c>
      <c r="C83" t="s">
        <v>654</v>
      </c>
      <c r="D83" s="2" t="s">
        <v>650</v>
      </c>
      <c r="E83" t="str">
        <f>_xlfn.XLOOKUP(B83,Laitetyypit!A:A,Laitetyypit!B:B,"ei")</f>
        <v>Thingsee PRESENCE</v>
      </c>
      <c r="F83" t="s">
        <v>659</v>
      </c>
      <c r="G83" s="3">
        <v>0.82</v>
      </c>
      <c r="H83" s="2">
        <v>46164.543136574073</v>
      </c>
      <c r="L83">
        <v>112073251</v>
      </c>
      <c r="M83" t="s">
        <v>476</v>
      </c>
      <c r="N83" t="s">
        <v>827</v>
      </c>
      <c r="O83" t="s">
        <v>671</v>
      </c>
      <c r="P83" t="s">
        <v>666</v>
      </c>
      <c r="Q83">
        <v>1</v>
      </c>
      <c r="R83" t="s">
        <v>670</v>
      </c>
      <c r="S83" t="s">
        <v>671</v>
      </c>
    </row>
    <row r="84" spans="1:19" x14ac:dyDescent="0.25">
      <c r="A84" t="s">
        <v>7</v>
      </c>
      <c r="B84" t="s">
        <v>3</v>
      </c>
      <c r="C84" t="s">
        <v>654</v>
      </c>
      <c r="D84" s="2" t="s">
        <v>650</v>
      </c>
      <c r="E84" t="str">
        <f>_xlfn.XLOOKUP(B84,Laitetyypit!A:A,Laitetyypit!B:B,"ei")</f>
        <v>Thingsee PRESENCE</v>
      </c>
      <c r="F84" t="s">
        <v>659</v>
      </c>
      <c r="G84" s="3">
        <v>0.83</v>
      </c>
      <c r="H84" s="2">
        <v>46164.553865740738</v>
      </c>
      <c r="L84">
        <v>112073252</v>
      </c>
      <c r="M84" t="s">
        <v>394</v>
      </c>
      <c r="N84" t="s">
        <v>827</v>
      </c>
      <c r="O84" t="s">
        <v>671</v>
      </c>
      <c r="P84" t="s">
        <v>666</v>
      </c>
      <c r="Q84">
        <v>1</v>
      </c>
      <c r="R84" t="s">
        <v>670</v>
      </c>
      <c r="S84" t="s">
        <v>671</v>
      </c>
    </row>
    <row r="85" spans="1:19" x14ac:dyDescent="0.25">
      <c r="A85" t="s">
        <v>78</v>
      </c>
      <c r="B85" t="s">
        <v>3</v>
      </c>
      <c r="C85" t="s">
        <v>654</v>
      </c>
      <c r="D85" s="2" t="s">
        <v>650</v>
      </c>
      <c r="E85" t="str">
        <f>_xlfn.XLOOKUP(B85,Laitetyypit!A:A,Laitetyypit!B:B,"ei")</f>
        <v>Thingsee PRESENCE</v>
      </c>
      <c r="F85" t="s">
        <v>659</v>
      </c>
      <c r="G85" s="3">
        <v>0.97</v>
      </c>
      <c r="H85" s="2">
        <v>45931.579976851855</v>
      </c>
      <c r="L85">
        <v>112073253</v>
      </c>
      <c r="M85" t="s">
        <v>477</v>
      </c>
      <c r="N85" t="s">
        <v>827</v>
      </c>
      <c r="O85" t="s">
        <v>671</v>
      </c>
      <c r="P85" t="s">
        <v>666</v>
      </c>
      <c r="Q85">
        <v>1</v>
      </c>
      <c r="R85" t="s">
        <v>670</v>
      </c>
      <c r="S85" t="s">
        <v>671</v>
      </c>
    </row>
    <row r="86" spans="1:19" x14ac:dyDescent="0.25">
      <c r="A86" t="s">
        <v>152</v>
      </c>
      <c r="B86" t="s">
        <v>3</v>
      </c>
      <c r="C86" t="s">
        <v>654</v>
      </c>
      <c r="D86" s="2" t="s">
        <v>650</v>
      </c>
      <c r="E86" t="str">
        <f>_xlfn.XLOOKUP(B86,Laitetyypit!A:A,Laitetyypit!B:B,"ei")</f>
        <v>Thingsee PRESENCE</v>
      </c>
      <c r="F86" t="s">
        <v>659</v>
      </c>
      <c r="G86" s="3">
        <v>0.85</v>
      </c>
      <c r="H86" s="2">
        <v>46164.55228009259</v>
      </c>
      <c r="L86">
        <v>112073254</v>
      </c>
      <c r="M86" t="s">
        <v>478</v>
      </c>
      <c r="N86" t="s">
        <v>827</v>
      </c>
      <c r="O86" t="s">
        <v>671</v>
      </c>
      <c r="P86" t="s">
        <v>666</v>
      </c>
      <c r="Q86">
        <v>1</v>
      </c>
      <c r="R86" t="s">
        <v>670</v>
      </c>
      <c r="S86" t="s">
        <v>671</v>
      </c>
    </row>
    <row r="87" spans="1:19" x14ac:dyDescent="0.25">
      <c r="A87" t="s">
        <v>106</v>
      </c>
      <c r="B87" t="s">
        <v>3</v>
      </c>
      <c r="C87" t="s">
        <v>654</v>
      </c>
      <c r="D87" s="2" t="s">
        <v>650</v>
      </c>
      <c r="E87" t="str">
        <f>_xlfn.XLOOKUP(B87,Laitetyypit!A:A,Laitetyypit!B:B,"ei")</f>
        <v>Thingsee PRESENCE</v>
      </c>
      <c r="F87" t="s">
        <v>659</v>
      </c>
      <c r="G87" s="3">
        <v>0.85</v>
      </c>
      <c r="H87" s="2">
        <v>46164.553472222222</v>
      </c>
      <c r="L87">
        <v>112073255</v>
      </c>
      <c r="M87" t="s">
        <v>479</v>
      </c>
      <c r="N87" t="s">
        <v>827</v>
      </c>
      <c r="O87" t="s">
        <v>671</v>
      </c>
      <c r="P87" t="s">
        <v>666</v>
      </c>
      <c r="Q87">
        <v>1</v>
      </c>
      <c r="R87" t="s">
        <v>670</v>
      </c>
      <c r="S87" t="s">
        <v>671</v>
      </c>
    </row>
    <row r="88" spans="1:19" x14ac:dyDescent="0.25">
      <c r="A88" t="s">
        <v>57</v>
      </c>
      <c r="B88" t="s">
        <v>3</v>
      </c>
      <c r="C88" t="s">
        <v>654</v>
      </c>
      <c r="D88" s="2" t="s">
        <v>650</v>
      </c>
      <c r="E88" t="str">
        <f>_xlfn.XLOOKUP(B88,Laitetyypit!A:A,Laitetyypit!B:B,"ei")</f>
        <v>Thingsee PRESENCE</v>
      </c>
      <c r="F88" t="s">
        <v>659</v>
      </c>
      <c r="G88" s="3">
        <v>0.85</v>
      </c>
      <c r="H88" s="2">
        <v>46164.555983796294</v>
      </c>
      <c r="L88">
        <v>112073256</v>
      </c>
      <c r="M88" t="s">
        <v>480</v>
      </c>
      <c r="N88" t="s">
        <v>827</v>
      </c>
      <c r="O88" t="s">
        <v>671</v>
      </c>
      <c r="P88" t="s">
        <v>666</v>
      </c>
      <c r="Q88">
        <v>1</v>
      </c>
      <c r="R88" t="s">
        <v>670</v>
      </c>
      <c r="S88" t="s">
        <v>671</v>
      </c>
    </row>
    <row r="89" spans="1:19" x14ac:dyDescent="0.25">
      <c r="A89" t="s">
        <v>118</v>
      </c>
      <c r="B89" t="s">
        <v>3</v>
      </c>
      <c r="C89" t="s">
        <v>654</v>
      </c>
      <c r="D89" s="2" t="s">
        <v>650</v>
      </c>
      <c r="E89" t="str">
        <f>_xlfn.XLOOKUP(B89,Laitetyypit!A:A,Laitetyypit!B:B,"ei")</f>
        <v>Thingsee PRESENCE</v>
      </c>
      <c r="F89" t="s">
        <v>659</v>
      </c>
      <c r="G89" s="3">
        <v>0.9</v>
      </c>
      <c r="H89" s="2">
        <v>46164.542708333334</v>
      </c>
      <c r="L89">
        <v>112073257</v>
      </c>
      <c r="M89" t="s">
        <v>481</v>
      </c>
      <c r="N89" t="s">
        <v>827</v>
      </c>
      <c r="O89" t="s">
        <v>671</v>
      </c>
      <c r="P89" t="s">
        <v>666</v>
      </c>
      <c r="Q89">
        <v>1</v>
      </c>
      <c r="R89" t="s">
        <v>670</v>
      </c>
      <c r="S89" t="s">
        <v>671</v>
      </c>
    </row>
    <row r="90" spans="1:19" x14ac:dyDescent="0.25">
      <c r="A90" t="s">
        <v>33</v>
      </c>
      <c r="B90" t="s">
        <v>3</v>
      </c>
      <c r="C90" t="s">
        <v>654</v>
      </c>
      <c r="D90" s="2" t="s">
        <v>650</v>
      </c>
      <c r="E90" t="str">
        <f>_xlfn.XLOOKUP(B90,Laitetyypit!A:A,Laitetyypit!B:B,"ei")</f>
        <v>Thingsee PRESENCE</v>
      </c>
      <c r="F90" t="s">
        <v>659</v>
      </c>
      <c r="G90" s="3">
        <v>0.91</v>
      </c>
      <c r="H90" s="2">
        <v>46164.554699074077</v>
      </c>
      <c r="L90">
        <v>112073258</v>
      </c>
      <c r="M90" t="s">
        <v>482</v>
      </c>
      <c r="N90" t="s">
        <v>827</v>
      </c>
      <c r="O90" t="s">
        <v>671</v>
      </c>
      <c r="P90" t="s">
        <v>666</v>
      </c>
      <c r="Q90">
        <v>1</v>
      </c>
      <c r="R90" t="s">
        <v>670</v>
      </c>
      <c r="S90" t="s">
        <v>671</v>
      </c>
    </row>
    <row r="91" spans="1:19" x14ac:dyDescent="0.25">
      <c r="A91" t="s">
        <v>204</v>
      </c>
      <c r="B91" t="s">
        <v>3</v>
      </c>
      <c r="C91" t="s">
        <v>654</v>
      </c>
      <c r="D91" s="2" t="s">
        <v>650</v>
      </c>
      <c r="E91" t="str">
        <f>_xlfn.XLOOKUP(B91,Laitetyypit!A:A,Laitetyypit!B:B,"ei")</f>
        <v>Thingsee PRESENCE</v>
      </c>
      <c r="F91" t="s">
        <v>659</v>
      </c>
      <c r="G91" s="3">
        <v>0.92</v>
      </c>
      <c r="H91" s="2">
        <v>46164.543344907404</v>
      </c>
      <c r="L91">
        <v>112073259</v>
      </c>
      <c r="M91" t="s">
        <v>483</v>
      </c>
      <c r="N91" t="s">
        <v>827</v>
      </c>
      <c r="O91" t="s">
        <v>671</v>
      </c>
      <c r="P91" t="s">
        <v>666</v>
      </c>
      <c r="Q91">
        <v>1</v>
      </c>
      <c r="R91" t="s">
        <v>670</v>
      </c>
      <c r="S91" t="s">
        <v>671</v>
      </c>
    </row>
    <row r="92" spans="1:19" x14ac:dyDescent="0.25">
      <c r="A92" t="s">
        <v>97</v>
      </c>
      <c r="B92" t="s">
        <v>3</v>
      </c>
      <c r="C92" t="s">
        <v>654</v>
      </c>
      <c r="D92" s="2" t="s">
        <v>650</v>
      </c>
      <c r="E92" t="str">
        <f>_xlfn.XLOOKUP(B92,Laitetyypit!A:A,Laitetyypit!B:B,"ei")</f>
        <v>Thingsee PRESENCE</v>
      </c>
      <c r="F92" t="s">
        <v>659</v>
      </c>
      <c r="G92" s="3">
        <v>0.91</v>
      </c>
      <c r="H92" s="2">
        <v>46164.547627314816</v>
      </c>
      <c r="L92">
        <v>112073260</v>
      </c>
      <c r="M92" t="s">
        <v>484</v>
      </c>
      <c r="N92" t="s">
        <v>827</v>
      </c>
      <c r="O92" t="s">
        <v>671</v>
      </c>
      <c r="P92" t="s">
        <v>666</v>
      </c>
      <c r="Q92">
        <v>1</v>
      </c>
      <c r="R92" t="s">
        <v>670</v>
      </c>
      <c r="S92" t="s">
        <v>671</v>
      </c>
    </row>
    <row r="93" spans="1:19" x14ac:dyDescent="0.25">
      <c r="A93" t="s">
        <v>196</v>
      </c>
      <c r="B93" t="s">
        <v>3</v>
      </c>
      <c r="C93" t="s">
        <v>654</v>
      </c>
      <c r="D93" s="2" t="s">
        <v>650</v>
      </c>
      <c r="E93" t="str">
        <f>_xlfn.XLOOKUP(B93,Laitetyypit!A:A,Laitetyypit!B:B,"ei")</f>
        <v>Thingsee PRESENCE</v>
      </c>
      <c r="F93" t="s">
        <v>659</v>
      </c>
      <c r="G93" s="3">
        <v>0.9</v>
      </c>
      <c r="H93" s="2">
        <v>46164.543796296297</v>
      </c>
      <c r="L93">
        <v>112073261</v>
      </c>
      <c r="M93" t="s">
        <v>485</v>
      </c>
      <c r="N93" t="s">
        <v>827</v>
      </c>
      <c r="O93" t="s">
        <v>671</v>
      </c>
      <c r="P93" t="s">
        <v>666</v>
      </c>
      <c r="Q93">
        <v>1</v>
      </c>
      <c r="R93" t="s">
        <v>670</v>
      </c>
      <c r="S93" t="s">
        <v>671</v>
      </c>
    </row>
    <row r="94" spans="1:19" x14ac:dyDescent="0.25">
      <c r="A94" t="s">
        <v>115</v>
      </c>
      <c r="B94" t="s">
        <v>3</v>
      </c>
      <c r="C94" t="s">
        <v>654</v>
      </c>
      <c r="D94" s="2" t="s">
        <v>650</v>
      </c>
      <c r="E94" t="str">
        <f>_xlfn.XLOOKUP(B94,Laitetyypit!A:A,Laitetyypit!B:B,"ei")</f>
        <v>Thingsee PRESENCE</v>
      </c>
      <c r="F94" t="s">
        <v>659</v>
      </c>
      <c r="G94" s="3">
        <v>0.89</v>
      </c>
      <c r="H94" s="2">
        <v>46164.544548611113</v>
      </c>
      <c r="L94">
        <v>112073262</v>
      </c>
      <c r="M94" t="s">
        <v>486</v>
      </c>
      <c r="N94" t="s">
        <v>827</v>
      </c>
      <c r="O94" t="s">
        <v>671</v>
      </c>
      <c r="P94" t="s">
        <v>666</v>
      </c>
      <c r="Q94">
        <v>1</v>
      </c>
      <c r="R94" t="s">
        <v>670</v>
      </c>
      <c r="S94" t="s">
        <v>671</v>
      </c>
    </row>
    <row r="95" spans="1:19" x14ac:dyDescent="0.25">
      <c r="A95" t="s">
        <v>96</v>
      </c>
      <c r="B95" t="s">
        <v>3</v>
      </c>
      <c r="C95" t="s">
        <v>654</v>
      </c>
      <c r="D95" s="2" t="s">
        <v>650</v>
      </c>
      <c r="E95" t="str">
        <f>_xlfn.XLOOKUP(B95,Laitetyypit!A:A,Laitetyypit!B:B,"ei")</f>
        <v>Thingsee PRESENCE</v>
      </c>
      <c r="F95" t="s">
        <v>659</v>
      </c>
      <c r="G95" s="3">
        <v>0.92</v>
      </c>
      <c r="H95" s="2">
        <v>46164.536377314813</v>
      </c>
      <c r="L95">
        <v>112073263</v>
      </c>
      <c r="M95" t="s">
        <v>487</v>
      </c>
      <c r="N95" t="s">
        <v>827</v>
      </c>
      <c r="O95" t="s">
        <v>671</v>
      </c>
      <c r="P95" t="s">
        <v>666</v>
      </c>
      <c r="Q95">
        <v>1</v>
      </c>
      <c r="R95" t="s">
        <v>670</v>
      </c>
      <c r="S95" t="s">
        <v>671</v>
      </c>
    </row>
    <row r="96" spans="1:19" x14ac:dyDescent="0.25">
      <c r="A96" t="s">
        <v>128</v>
      </c>
      <c r="B96" t="s">
        <v>3</v>
      </c>
      <c r="C96" t="s">
        <v>654</v>
      </c>
      <c r="D96" s="2" t="s">
        <v>650</v>
      </c>
      <c r="E96" t="str">
        <f>_xlfn.XLOOKUP(B96,Laitetyypit!A:A,Laitetyypit!B:B,"ei")</f>
        <v>Thingsee PRESENCE</v>
      </c>
      <c r="F96" t="s">
        <v>659</v>
      </c>
      <c r="G96" s="3">
        <v>0.91</v>
      </c>
      <c r="H96" s="2">
        <v>46164.542986111112</v>
      </c>
      <c r="L96">
        <v>112073264</v>
      </c>
      <c r="M96" t="s">
        <v>488</v>
      </c>
      <c r="N96" t="s">
        <v>827</v>
      </c>
      <c r="O96" t="s">
        <v>671</v>
      </c>
      <c r="P96" t="s">
        <v>666</v>
      </c>
      <c r="Q96">
        <v>1</v>
      </c>
      <c r="R96" t="s">
        <v>670</v>
      </c>
      <c r="S96" t="s">
        <v>671</v>
      </c>
    </row>
    <row r="97" spans="1:19" x14ac:dyDescent="0.25">
      <c r="A97" t="s">
        <v>130</v>
      </c>
      <c r="B97" t="s">
        <v>3</v>
      </c>
      <c r="C97" t="s">
        <v>654</v>
      </c>
      <c r="D97" s="2" t="s">
        <v>650</v>
      </c>
      <c r="E97" t="str">
        <f>_xlfn.XLOOKUP(B97,Laitetyypit!A:A,Laitetyypit!B:B,"ei")</f>
        <v>Thingsee PRESENCE</v>
      </c>
      <c r="F97" t="s">
        <v>659</v>
      </c>
      <c r="G97" s="3">
        <v>0.92</v>
      </c>
      <c r="H97" s="2">
        <v>46164.544675925928</v>
      </c>
      <c r="L97">
        <v>112073265</v>
      </c>
      <c r="M97" t="s">
        <v>489</v>
      </c>
      <c r="N97" t="s">
        <v>827</v>
      </c>
      <c r="O97" t="s">
        <v>671</v>
      </c>
      <c r="P97" t="s">
        <v>666</v>
      </c>
      <c r="Q97">
        <v>1</v>
      </c>
      <c r="R97" t="s">
        <v>670</v>
      </c>
      <c r="S97" t="s">
        <v>671</v>
      </c>
    </row>
    <row r="98" spans="1:19" x14ac:dyDescent="0.25">
      <c r="A98" t="s">
        <v>8</v>
      </c>
      <c r="B98" t="s">
        <v>3</v>
      </c>
      <c r="C98" t="s">
        <v>654</v>
      </c>
      <c r="D98" s="2" t="s">
        <v>650</v>
      </c>
      <c r="E98" t="str">
        <f>_xlfn.XLOOKUP(B98,Laitetyypit!A:A,Laitetyypit!B:B,"ei")</f>
        <v>Thingsee PRESENCE</v>
      </c>
      <c r="F98" t="s">
        <v>659</v>
      </c>
      <c r="G98" s="3">
        <v>0.91</v>
      </c>
      <c r="H98" s="2">
        <v>46164.552488425928</v>
      </c>
      <c r="L98">
        <v>112073266</v>
      </c>
      <c r="M98" t="s">
        <v>395</v>
      </c>
      <c r="N98" t="s">
        <v>827</v>
      </c>
      <c r="O98" t="s">
        <v>671</v>
      </c>
      <c r="P98" t="s">
        <v>666</v>
      </c>
      <c r="Q98">
        <v>1</v>
      </c>
      <c r="R98" t="s">
        <v>670</v>
      </c>
      <c r="S98" t="s">
        <v>671</v>
      </c>
    </row>
    <row r="99" spans="1:19" x14ac:dyDescent="0.25">
      <c r="A99" t="s">
        <v>179</v>
      </c>
      <c r="B99" t="s">
        <v>3</v>
      </c>
      <c r="C99" t="s">
        <v>654</v>
      </c>
      <c r="D99" s="2" t="s">
        <v>650</v>
      </c>
      <c r="E99" t="str">
        <f>_xlfn.XLOOKUP(B99,Laitetyypit!A:A,Laitetyypit!B:B,"ei")</f>
        <v>Thingsee PRESENCE</v>
      </c>
      <c r="F99" t="s">
        <v>659</v>
      </c>
      <c r="G99" s="3">
        <v>0.89</v>
      </c>
      <c r="H99" s="2">
        <v>46164.555752314816</v>
      </c>
      <c r="L99">
        <v>112073267</v>
      </c>
      <c r="M99" t="s">
        <v>490</v>
      </c>
      <c r="N99" t="s">
        <v>827</v>
      </c>
      <c r="O99" t="s">
        <v>671</v>
      </c>
      <c r="P99" t="s">
        <v>666</v>
      </c>
      <c r="Q99">
        <v>1</v>
      </c>
      <c r="R99" t="s">
        <v>670</v>
      </c>
      <c r="S99" t="s">
        <v>671</v>
      </c>
    </row>
    <row r="100" spans="1:19" x14ac:dyDescent="0.25">
      <c r="A100" t="s">
        <v>11</v>
      </c>
      <c r="B100" t="s">
        <v>3</v>
      </c>
      <c r="C100" t="s">
        <v>654</v>
      </c>
      <c r="D100" s="2" t="s">
        <v>650</v>
      </c>
      <c r="E100" t="str">
        <f>_xlfn.XLOOKUP(B100,Laitetyypit!A:A,Laitetyypit!B:B,"ei")</f>
        <v>Thingsee PRESENCE</v>
      </c>
      <c r="F100" t="s">
        <v>659</v>
      </c>
      <c r="G100" s="3">
        <v>0.9</v>
      </c>
      <c r="H100" s="2">
        <v>46164.553217592591</v>
      </c>
      <c r="L100">
        <v>112073268</v>
      </c>
      <c r="M100" t="s">
        <v>491</v>
      </c>
      <c r="N100" t="s">
        <v>827</v>
      </c>
      <c r="O100" t="s">
        <v>671</v>
      </c>
      <c r="P100" t="s">
        <v>666</v>
      </c>
      <c r="Q100">
        <v>1</v>
      </c>
      <c r="R100" t="s">
        <v>670</v>
      </c>
      <c r="S100" t="s">
        <v>671</v>
      </c>
    </row>
    <row r="101" spans="1:19" x14ac:dyDescent="0.25">
      <c r="A101" t="s">
        <v>182</v>
      </c>
      <c r="B101" t="s">
        <v>3</v>
      </c>
      <c r="C101" t="s">
        <v>654</v>
      </c>
      <c r="D101" s="2" t="s">
        <v>650</v>
      </c>
      <c r="E101" t="str">
        <f>_xlfn.XLOOKUP(B101,Laitetyypit!A:A,Laitetyypit!B:B,"ei")</f>
        <v>Thingsee PRESENCE</v>
      </c>
      <c r="F101" t="s">
        <v>659</v>
      </c>
      <c r="G101" s="3">
        <v>0.9</v>
      </c>
      <c r="H101" s="2">
        <v>46164.551805555559</v>
      </c>
      <c r="L101">
        <v>112073269</v>
      </c>
      <c r="M101" t="s">
        <v>492</v>
      </c>
      <c r="N101" t="s">
        <v>827</v>
      </c>
      <c r="O101" t="s">
        <v>671</v>
      </c>
      <c r="P101" t="s">
        <v>666</v>
      </c>
      <c r="Q101">
        <v>1</v>
      </c>
      <c r="R101" t="s">
        <v>670</v>
      </c>
      <c r="S101" t="s">
        <v>671</v>
      </c>
    </row>
    <row r="102" spans="1:19" x14ac:dyDescent="0.25">
      <c r="A102" t="s">
        <v>194</v>
      </c>
      <c r="B102" t="s">
        <v>3</v>
      </c>
      <c r="C102" t="s">
        <v>654</v>
      </c>
      <c r="D102" s="2" t="s">
        <v>650</v>
      </c>
      <c r="E102" t="str">
        <f>_xlfn.XLOOKUP(B102,Laitetyypit!A:A,Laitetyypit!B:B,"ei")</f>
        <v>Thingsee PRESENCE</v>
      </c>
      <c r="F102" t="s">
        <v>659</v>
      </c>
      <c r="G102" s="3">
        <v>0.91</v>
      </c>
      <c r="H102" s="2">
        <v>46164.555694444447</v>
      </c>
      <c r="L102">
        <v>112073270</v>
      </c>
      <c r="M102" t="s">
        <v>493</v>
      </c>
      <c r="N102" t="s">
        <v>827</v>
      </c>
      <c r="O102" t="s">
        <v>671</v>
      </c>
      <c r="P102" t="s">
        <v>666</v>
      </c>
      <c r="Q102">
        <v>1</v>
      </c>
      <c r="R102" t="s">
        <v>670</v>
      </c>
      <c r="S102" t="s">
        <v>671</v>
      </c>
    </row>
    <row r="103" spans="1:19" x14ac:dyDescent="0.25">
      <c r="A103" t="s">
        <v>5</v>
      </c>
      <c r="B103" t="s">
        <v>3</v>
      </c>
      <c r="C103" t="s">
        <v>654</v>
      </c>
      <c r="D103" s="2" t="s">
        <v>650</v>
      </c>
      <c r="E103" t="str">
        <f>_xlfn.XLOOKUP(B103,Laitetyypit!A:A,Laitetyypit!B:B,"ei")</f>
        <v>Thingsee PRESENCE</v>
      </c>
      <c r="F103" t="s">
        <v>659</v>
      </c>
      <c r="G103" s="3">
        <v>0.9</v>
      </c>
      <c r="H103" s="2">
        <v>46164.54724537037</v>
      </c>
      <c r="L103">
        <v>112073271</v>
      </c>
      <c r="M103" t="s">
        <v>392</v>
      </c>
      <c r="N103" t="s">
        <v>827</v>
      </c>
      <c r="O103" t="s">
        <v>671</v>
      </c>
      <c r="P103" t="s">
        <v>666</v>
      </c>
      <c r="Q103">
        <v>1</v>
      </c>
      <c r="R103" t="s">
        <v>670</v>
      </c>
      <c r="S103" t="s">
        <v>671</v>
      </c>
    </row>
    <row r="104" spans="1:19" x14ac:dyDescent="0.25">
      <c r="A104" t="s">
        <v>84</v>
      </c>
      <c r="B104" t="s">
        <v>3</v>
      </c>
      <c r="C104" t="s">
        <v>654</v>
      </c>
      <c r="D104" s="2" t="s">
        <v>650</v>
      </c>
      <c r="E104" t="str">
        <f>_xlfn.XLOOKUP(B104,Laitetyypit!A:A,Laitetyypit!B:B,"ei")</f>
        <v>Thingsee PRESENCE</v>
      </c>
      <c r="F104" t="s">
        <v>659</v>
      </c>
      <c r="G104" s="3">
        <v>0.9</v>
      </c>
      <c r="H104" s="2">
        <v>46164.555856481478</v>
      </c>
      <c r="L104">
        <v>112073272</v>
      </c>
      <c r="M104" t="s">
        <v>494</v>
      </c>
      <c r="N104" t="s">
        <v>827</v>
      </c>
      <c r="O104" t="s">
        <v>671</v>
      </c>
      <c r="P104" t="s">
        <v>666</v>
      </c>
      <c r="Q104">
        <v>1</v>
      </c>
      <c r="R104" t="s">
        <v>670</v>
      </c>
      <c r="S104" t="s">
        <v>671</v>
      </c>
    </row>
    <row r="105" spans="1:19" x14ac:dyDescent="0.25">
      <c r="A105" t="s">
        <v>164</v>
      </c>
      <c r="B105" t="s">
        <v>3</v>
      </c>
      <c r="C105" t="s">
        <v>654</v>
      </c>
      <c r="D105" s="2" t="s">
        <v>650</v>
      </c>
      <c r="E105" t="str">
        <f>_xlfn.XLOOKUP(B105,Laitetyypit!A:A,Laitetyypit!B:B,"ei")</f>
        <v>Thingsee PRESENCE</v>
      </c>
      <c r="F105" t="s">
        <v>659</v>
      </c>
      <c r="G105" s="3">
        <v>0.9</v>
      </c>
      <c r="H105" s="2">
        <v>46164.537905092591</v>
      </c>
      <c r="L105">
        <v>112073273</v>
      </c>
      <c r="M105" t="s">
        <v>495</v>
      </c>
      <c r="N105" t="s">
        <v>827</v>
      </c>
      <c r="O105" t="s">
        <v>671</v>
      </c>
      <c r="P105" t="s">
        <v>666</v>
      </c>
      <c r="Q105">
        <v>1</v>
      </c>
      <c r="R105" t="s">
        <v>670</v>
      </c>
      <c r="S105" t="s">
        <v>671</v>
      </c>
    </row>
    <row r="106" spans="1:19" x14ac:dyDescent="0.25">
      <c r="A106" t="s">
        <v>139</v>
      </c>
      <c r="B106" t="s">
        <v>3</v>
      </c>
      <c r="C106" t="s">
        <v>654</v>
      </c>
      <c r="D106" s="2" t="s">
        <v>650</v>
      </c>
      <c r="E106" t="str">
        <f>_xlfn.XLOOKUP(B106,Laitetyypit!A:A,Laitetyypit!B:B,"ei")</f>
        <v>Thingsee PRESENCE</v>
      </c>
      <c r="F106" t="s">
        <v>659</v>
      </c>
      <c r="G106" s="3">
        <v>0.9</v>
      </c>
      <c r="H106" s="2">
        <v>46164.551053240742</v>
      </c>
      <c r="L106">
        <v>112073274</v>
      </c>
      <c r="M106" t="s">
        <v>496</v>
      </c>
      <c r="N106" t="s">
        <v>827</v>
      </c>
      <c r="O106" t="s">
        <v>671</v>
      </c>
      <c r="P106" t="s">
        <v>666</v>
      </c>
      <c r="Q106">
        <v>1</v>
      </c>
      <c r="R106" t="s">
        <v>670</v>
      </c>
      <c r="S106" t="s">
        <v>671</v>
      </c>
    </row>
    <row r="107" spans="1:19" x14ac:dyDescent="0.25">
      <c r="A107" t="s">
        <v>60</v>
      </c>
      <c r="B107" t="s">
        <v>3</v>
      </c>
      <c r="C107" t="s">
        <v>654</v>
      </c>
      <c r="D107" s="2" t="s">
        <v>650</v>
      </c>
      <c r="E107" t="str">
        <f>_xlfn.XLOOKUP(B107,Laitetyypit!A:A,Laitetyypit!B:B,"ei")</f>
        <v>Thingsee PRESENCE</v>
      </c>
      <c r="F107" t="s">
        <v>659</v>
      </c>
      <c r="G107" s="3">
        <v>0.88</v>
      </c>
      <c r="H107" s="2">
        <v>46164.543043981481</v>
      </c>
      <c r="L107">
        <v>112073275</v>
      </c>
      <c r="M107" t="s">
        <v>497</v>
      </c>
      <c r="N107" t="s">
        <v>827</v>
      </c>
      <c r="O107" t="s">
        <v>671</v>
      </c>
      <c r="P107" t="s">
        <v>666</v>
      </c>
      <c r="Q107">
        <v>1</v>
      </c>
      <c r="R107" t="s">
        <v>670</v>
      </c>
      <c r="S107" t="s">
        <v>671</v>
      </c>
    </row>
    <row r="108" spans="1:19" x14ac:dyDescent="0.25">
      <c r="A108" t="s">
        <v>153</v>
      </c>
      <c r="B108" t="s">
        <v>3</v>
      </c>
      <c r="C108" t="s">
        <v>654</v>
      </c>
      <c r="D108" s="2" t="s">
        <v>650</v>
      </c>
      <c r="E108" t="str">
        <f>_xlfn.XLOOKUP(B108,Laitetyypit!A:A,Laitetyypit!B:B,"ei")</f>
        <v>Thingsee PRESENCE</v>
      </c>
      <c r="F108" t="s">
        <v>659</v>
      </c>
      <c r="G108" s="3">
        <v>0.87</v>
      </c>
      <c r="H108" s="2">
        <v>46164.544421296298</v>
      </c>
      <c r="L108">
        <v>112073276</v>
      </c>
      <c r="M108" t="s">
        <v>498</v>
      </c>
      <c r="N108" t="s">
        <v>827</v>
      </c>
      <c r="O108" t="s">
        <v>671</v>
      </c>
      <c r="P108" t="s">
        <v>666</v>
      </c>
      <c r="Q108">
        <v>1</v>
      </c>
      <c r="R108" t="s">
        <v>670</v>
      </c>
      <c r="S108" t="s">
        <v>671</v>
      </c>
    </row>
    <row r="109" spans="1:19" x14ac:dyDescent="0.25">
      <c r="A109" t="s">
        <v>51</v>
      </c>
      <c r="B109" t="s">
        <v>3</v>
      </c>
      <c r="C109" t="s">
        <v>654</v>
      </c>
      <c r="D109" s="2" t="s">
        <v>650</v>
      </c>
      <c r="E109" t="str">
        <f>_xlfn.XLOOKUP(B109,Laitetyypit!A:A,Laitetyypit!B:B,"ei")</f>
        <v>Thingsee PRESENCE</v>
      </c>
      <c r="F109" t="s">
        <v>659</v>
      </c>
      <c r="G109" s="3">
        <v>0.89</v>
      </c>
      <c r="H109" s="2">
        <v>46164.544479166667</v>
      </c>
      <c r="L109">
        <v>112073277</v>
      </c>
      <c r="M109" t="s">
        <v>499</v>
      </c>
      <c r="N109" t="s">
        <v>827</v>
      </c>
      <c r="O109" t="s">
        <v>671</v>
      </c>
      <c r="P109" t="s">
        <v>666</v>
      </c>
      <c r="Q109">
        <v>1</v>
      </c>
      <c r="R109" t="s">
        <v>670</v>
      </c>
      <c r="S109" t="s">
        <v>671</v>
      </c>
    </row>
    <row r="110" spans="1:19" x14ac:dyDescent="0.25">
      <c r="A110" t="s">
        <v>10</v>
      </c>
      <c r="B110" t="s">
        <v>3</v>
      </c>
      <c r="C110" t="s">
        <v>654</v>
      </c>
      <c r="D110" s="2" t="s">
        <v>650</v>
      </c>
      <c r="E110" t="str">
        <f>_xlfn.XLOOKUP(B110,Laitetyypit!A:A,Laitetyypit!B:B,"ei")</f>
        <v>Thingsee PRESENCE</v>
      </c>
      <c r="F110" t="s">
        <v>659</v>
      </c>
      <c r="G110" s="3">
        <v>0.9</v>
      </c>
      <c r="H110" s="2">
        <v>46164.543703703705</v>
      </c>
      <c r="L110">
        <v>112073278</v>
      </c>
      <c r="M110" t="s">
        <v>500</v>
      </c>
      <c r="N110" t="s">
        <v>827</v>
      </c>
      <c r="O110" t="s">
        <v>671</v>
      </c>
      <c r="P110" t="s">
        <v>666</v>
      </c>
      <c r="Q110">
        <v>1</v>
      </c>
      <c r="R110" t="s">
        <v>670</v>
      </c>
      <c r="S110" t="s">
        <v>671</v>
      </c>
    </row>
    <row r="111" spans="1:19" x14ac:dyDescent="0.25">
      <c r="A111" t="s">
        <v>389</v>
      </c>
      <c r="B111" t="s">
        <v>3</v>
      </c>
      <c r="C111" t="s">
        <v>654</v>
      </c>
      <c r="D111" s="2" t="s">
        <v>650</v>
      </c>
      <c r="E111" t="str">
        <f>_xlfn.XLOOKUP(B111,Laitetyypit!A:A,Laitetyypit!B:B,"ei")</f>
        <v>Thingsee PRESENCE</v>
      </c>
      <c r="F111" t="s">
        <v>659</v>
      </c>
      <c r="G111" s="3">
        <v>0.88</v>
      </c>
      <c r="H111" s="2">
        <v>46164.556226851855</v>
      </c>
      <c r="L111">
        <v>112073279</v>
      </c>
      <c r="M111" t="s">
        <v>398</v>
      </c>
      <c r="N111" t="s">
        <v>827</v>
      </c>
      <c r="O111" t="s">
        <v>671</v>
      </c>
      <c r="P111" t="s">
        <v>666</v>
      </c>
      <c r="Q111">
        <v>1</v>
      </c>
      <c r="R111" t="s">
        <v>670</v>
      </c>
      <c r="S111" t="s">
        <v>671</v>
      </c>
    </row>
    <row r="112" spans="1:19" x14ac:dyDescent="0.25">
      <c r="A112" t="s">
        <v>124</v>
      </c>
      <c r="B112" t="s">
        <v>3</v>
      </c>
      <c r="C112" t="s">
        <v>654</v>
      </c>
      <c r="D112" s="2" t="s">
        <v>650</v>
      </c>
      <c r="E112" t="str">
        <f>_xlfn.XLOOKUP(B112,Laitetyypit!A:A,Laitetyypit!B:B,"ei")</f>
        <v>Thingsee PRESENCE</v>
      </c>
      <c r="F112" t="s">
        <v>659</v>
      </c>
      <c r="G112" s="3">
        <v>0.9</v>
      </c>
      <c r="H112" s="2">
        <v>46164.543379629627</v>
      </c>
      <c r="L112">
        <v>112073280</v>
      </c>
      <c r="M112" t="s">
        <v>501</v>
      </c>
      <c r="N112" t="s">
        <v>827</v>
      </c>
      <c r="O112" t="s">
        <v>671</v>
      </c>
      <c r="P112" t="s">
        <v>666</v>
      </c>
      <c r="Q112">
        <v>1</v>
      </c>
      <c r="R112" t="s">
        <v>670</v>
      </c>
      <c r="S112" t="s">
        <v>671</v>
      </c>
    </row>
    <row r="113" spans="1:19" x14ac:dyDescent="0.25">
      <c r="A113" t="s">
        <v>46</v>
      </c>
      <c r="B113" t="s">
        <v>3</v>
      </c>
      <c r="C113" t="s">
        <v>654</v>
      </c>
      <c r="D113" s="2" t="s">
        <v>650</v>
      </c>
      <c r="E113" t="str">
        <f>_xlfn.XLOOKUP(B113,Laitetyypit!A:A,Laitetyypit!B:B,"ei")</f>
        <v>Thingsee PRESENCE</v>
      </c>
      <c r="F113" t="s">
        <v>659</v>
      </c>
      <c r="G113" s="3">
        <v>0.9</v>
      </c>
      <c r="H113" s="2">
        <v>46164.554247685184</v>
      </c>
      <c r="L113">
        <v>112073281</v>
      </c>
      <c r="M113" t="s">
        <v>502</v>
      </c>
      <c r="N113" t="s">
        <v>827</v>
      </c>
      <c r="O113" t="s">
        <v>671</v>
      </c>
      <c r="P113" t="s">
        <v>666</v>
      </c>
      <c r="Q113">
        <v>1</v>
      </c>
      <c r="R113" t="s">
        <v>670</v>
      </c>
      <c r="S113" t="s">
        <v>671</v>
      </c>
    </row>
    <row r="114" spans="1:19" x14ac:dyDescent="0.25">
      <c r="A114" t="s">
        <v>151</v>
      </c>
      <c r="B114" t="s">
        <v>3</v>
      </c>
      <c r="C114" t="s">
        <v>654</v>
      </c>
      <c r="D114" s="2" t="s">
        <v>650</v>
      </c>
      <c r="E114" t="str">
        <f>_xlfn.XLOOKUP(B114,Laitetyypit!A:A,Laitetyypit!B:B,"ei")</f>
        <v>Thingsee PRESENCE</v>
      </c>
      <c r="F114" t="s">
        <v>659</v>
      </c>
      <c r="G114" s="3">
        <v>0.9</v>
      </c>
      <c r="H114" s="2">
        <v>46164.555798611109</v>
      </c>
      <c r="L114">
        <v>112073282</v>
      </c>
      <c r="M114" t="s">
        <v>503</v>
      </c>
      <c r="N114" t="s">
        <v>827</v>
      </c>
      <c r="O114" t="s">
        <v>671</v>
      </c>
      <c r="P114" t="s">
        <v>666</v>
      </c>
      <c r="Q114">
        <v>1</v>
      </c>
      <c r="R114" t="s">
        <v>670</v>
      </c>
      <c r="S114" t="s">
        <v>671</v>
      </c>
    </row>
    <row r="115" spans="1:19" x14ac:dyDescent="0.25">
      <c r="A115" t="s">
        <v>52</v>
      </c>
      <c r="B115" t="s">
        <v>3</v>
      </c>
      <c r="C115" t="s">
        <v>654</v>
      </c>
      <c r="D115" s="2" t="s">
        <v>650</v>
      </c>
      <c r="E115" t="str">
        <f>_xlfn.XLOOKUP(B115,Laitetyypit!A:A,Laitetyypit!B:B,"ei")</f>
        <v>Thingsee PRESENCE</v>
      </c>
      <c r="F115" t="s">
        <v>659</v>
      </c>
      <c r="G115" s="3">
        <v>0.9</v>
      </c>
      <c r="H115" s="2">
        <v>46164.53833333333</v>
      </c>
      <c r="L115">
        <v>112073283</v>
      </c>
      <c r="M115" t="s">
        <v>504</v>
      </c>
      <c r="N115" t="s">
        <v>827</v>
      </c>
      <c r="O115" t="s">
        <v>671</v>
      </c>
      <c r="P115" t="s">
        <v>666</v>
      </c>
      <c r="Q115">
        <v>1</v>
      </c>
      <c r="R115" t="s">
        <v>670</v>
      </c>
      <c r="S115" t="s">
        <v>671</v>
      </c>
    </row>
    <row r="116" spans="1:19" x14ac:dyDescent="0.25">
      <c r="A116" t="s">
        <v>142</v>
      </c>
      <c r="B116" t="s">
        <v>3</v>
      </c>
      <c r="C116" t="s">
        <v>654</v>
      </c>
      <c r="D116" s="2" t="s">
        <v>650</v>
      </c>
      <c r="E116" t="str">
        <f>_xlfn.XLOOKUP(B116,Laitetyypit!A:A,Laitetyypit!B:B,"ei")</f>
        <v>Thingsee PRESENCE</v>
      </c>
      <c r="F116" t="s">
        <v>659</v>
      </c>
      <c r="G116" s="3">
        <v>0.9</v>
      </c>
      <c r="H116" s="2">
        <v>46164.544618055559</v>
      </c>
      <c r="L116">
        <v>112073284</v>
      </c>
      <c r="M116" t="s">
        <v>505</v>
      </c>
      <c r="N116" t="s">
        <v>827</v>
      </c>
      <c r="O116" t="s">
        <v>671</v>
      </c>
      <c r="P116" t="s">
        <v>666</v>
      </c>
      <c r="Q116">
        <v>1</v>
      </c>
      <c r="R116" t="s">
        <v>670</v>
      </c>
      <c r="S116" t="s">
        <v>671</v>
      </c>
    </row>
    <row r="117" spans="1:19" x14ac:dyDescent="0.25">
      <c r="A117" t="s">
        <v>195</v>
      </c>
      <c r="B117" t="s">
        <v>3</v>
      </c>
      <c r="C117" t="s">
        <v>654</v>
      </c>
      <c r="D117" s="2" t="s">
        <v>650</v>
      </c>
      <c r="E117" t="str">
        <f>_xlfn.XLOOKUP(B117,Laitetyypit!A:A,Laitetyypit!B:B,"ei")</f>
        <v>Thingsee PRESENCE</v>
      </c>
      <c r="F117" t="s">
        <v>659</v>
      </c>
      <c r="G117" s="3">
        <v>0.9</v>
      </c>
      <c r="H117" s="2">
        <v>46164.544444444444</v>
      </c>
      <c r="L117">
        <v>112073285</v>
      </c>
      <c r="M117" t="s">
        <v>506</v>
      </c>
      <c r="N117" t="s">
        <v>827</v>
      </c>
      <c r="O117" t="s">
        <v>671</v>
      </c>
      <c r="P117" t="s">
        <v>666</v>
      </c>
      <c r="Q117">
        <v>1</v>
      </c>
      <c r="R117" t="s">
        <v>670</v>
      </c>
      <c r="S117" t="s">
        <v>671</v>
      </c>
    </row>
    <row r="118" spans="1:19" x14ac:dyDescent="0.25">
      <c r="A118" t="s">
        <v>86</v>
      </c>
      <c r="B118" t="s">
        <v>3</v>
      </c>
      <c r="C118" t="s">
        <v>654</v>
      </c>
      <c r="D118" s="2" t="s">
        <v>650</v>
      </c>
      <c r="E118" t="str">
        <f>_xlfn.XLOOKUP(B118,Laitetyypit!A:A,Laitetyypit!B:B,"ei")</f>
        <v>Thingsee PRESENCE</v>
      </c>
      <c r="F118" t="s">
        <v>659</v>
      </c>
      <c r="G118" s="3">
        <v>0.9</v>
      </c>
      <c r="H118" s="2">
        <v>46164.545034722221</v>
      </c>
      <c r="L118">
        <v>112073286</v>
      </c>
      <c r="M118" t="s">
        <v>507</v>
      </c>
      <c r="N118" t="s">
        <v>827</v>
      </c>
      <c r="O118" t="s">
        <v>671</v>
      </c>
      <c r="P118" t="s">
        <v>666</v>
      </c>
      <c r="Q118">
        <v>1</v>
      </c>
      <c r="R118" t="s">
        <v>670</v>
      </c>
      <c r="S118" t="s">
        <v>671</v>
      </c>
    </row>
    <row r="119" spans="1:19" x14ac:dyDescent="0.25">
      <c r="A119" t="s">
        <v>12</v>
      </c>
      <c r="B119" t="s">
        <v>3</v>
      </c>
      <c r="C119" t="s">
        <v>654</v>
      </c>
      <c r="D119" s="2" t="s">
        <v>650</v>
      </c>
      <c r="E119" t="str">
        <f>_xlfn.XLOOKUP(B119,Laitetyypit!A:A,Laitetyypit!B:B,"ei")</f>
        <v>Thingsee PRESENCE</v>
      </c>
      <c r="F119" t="s">
        <v>659</v>
      </c>
      <c r="G119" s="3">
        <v>0.9</v>
      </c>
      <c r="H119" s="2">
        <v>46164.545416666668</v>
      </c>
      <c r="L119">
        <v>112073287</v>
      </c>
      <c r="M119" t="s">
        <v>508</v>
      </c>
      <c r="N119" t="s">
        <v>827</v>
      </c>
      <c r="O119" t="s">
        <v>671</v>
      </c>
      <c r="P119" t="s">
        <v>666</v>
      </c>
      <c r="Q119">
        <v>1</v>
      </c>
      <c r="R119" t="s">
        <v>670</v>
      </c>
      <c r="S119" t="s">
        <v>671</v>
      </c>
    </row>
    <row r="120" spans="1:19" x14ac:dyDescent="0.25">
      <c r="A120" t="s">
        <v>47</v>
      </c>
      <c r="B120" t="s">
        <v>3</v>
      </c>
      <c r="C120" t="s">
        <v>654</v>
      </c>
      <c r="D120" s="2" t="s">
        <v>650</v>
      </c>
      <c r="E120" t="str">
        <f>_xlfn.XLOOKUP(B120,Laitetyypit!A:A,Laitetyypit!B:B,"ei")</f>
        <v>Thingsee PRESENCE</v>
      </c>
      <c r="F120" t="s">
        <v>659</v>
      </c>
      <c r="G120" s="3">
        <v>0.87</v>
      </c>
      <c r="H120" s="2">
        <v>46164.55605324074</v>
      </c>
      <c r="L120">
        <v>112073288</v>
      </c>
      <c r="M120" t="s">
        <v>509</v>
      </c>
      <c r="N120" t="s">
        <v>827</v>
      </c>
      <c r="O120" t="s">
        <v>671</v>
      </c>
      <c r="P120" t="s">
        <v>666</v>
      </c>
      <c r="Q120">
        <v>1</v>
      </c>
      <c r="R120" t="s">
        <v>670</v>
      </c>
      <c r="S120" t="s">
        <v>671</v>
      </c>
    </row>
    <row r="121" spans="1:19" x14ac:dyDescent="0.25">
      <c r="A121" t="s">
        <v>58</v>
      </c>
      <c r="B121" t="s">
        <v>3</v>
      </c>
      <c r="C121" t="s">
        <v>654</v>
      </c>
      <c r="D121" s="2" t="s">
        <v>650</v>
      </c>
      <c r="E121" t="str">
        <f>_xlfn.XLOOKUP(B121,Laitetyypit!A:A,Laitetyypit!B:B,"ei")</f>
        <v>Thingsee PRESENCE</v>
      </c>
      <c r="F121" t="s">
        <v>659</v>
      </c>
      <c r="G121" s="3">
        <v>0.9</v>
      </c>
      <c r="H121" s="2">
        <v>46164.555844907409</v>
      </c>
      <c r="L121">
        <v>112073289</v>
      </c>
      <c r="M121" t="s">
        <v>510</v>
      </c>
      <c r="N121" t="s">
        <v>827</v>
      </c>
      <c r="O121" t="s">
        <v>671</v>
      </c>
      <c r="P121" t="s">
        <v>666</v>
      </c>
      <c r="Q121">
        <v>1</v>
      </c>
      <c r="R121" t="s">
        <v>670</v>
      </c>
      <c r="S121" t="s">
        <v>671</v>
      </c>
    </row>
    <row r="122" spans="1:19" x14ac:dyDescent="0.25">
      <c r="A122" t="s">
        <v>161</v>
      </c>
      <c r="B122" t="s">
        <v>3</v>
      </c>
      <c r="C122" t="s">
        <v>654</v>
      </c>
      <c r="D122" s="2" t="s">
        <v>650</v>
      </c>
      <c r="E122" t="str">
        <f>_xlfn.XLOOKUP(B122,Laitetyypit!A:A,Laitetyypit!B:B,"ei")</f>
        <v>Thingsee PRESENCE</v>
      </c>
      <c r="F122" t="s">
        <v>659</v>
      </c>
      <c r="G122" s="3">
        <v>0.89</v>
      </c>
      <c r="H122" s="2">
        <v>46164.552627314813</v>
      </c>
      <c r="L122">
        <v>112073290</v>
      </c>
      <c r="M122" t="s">
        <v>511</v>
      </c>
      <c r="N122" t="s">
        <v>827</v>
      </c>
      <c r="O122" t="s">
        <v>671</v>
      </c>
      <c r="P122" t="s">
        <v>666</v>
      </c>
      <c r="Q122">
        <v>1</v>
      </c>
      <c r="R122" t="s">
        <v>670</v>
      </c>
      <c r="S122" t="s">
        <v>671</v>
      </c>
    </row>
    <row r="123" spans="1:19" x14ac:dyDescent="0.25">
      <c r="A123" t="s">
        <v>184</v>
      </c>
      <c r="B123" t="s">
        <v>3</v>
      </c>
      <c r="C123" t="s">
        <v>654</v>
      </c>
      <c r="D123" s="2" t="s">
        <v>650</v>
      </c>
      <c r="E123" t="str">
        <f>_xlfn.XLOOKUP(B123,Laitetyypit!A:A,Laitetyypit!B:B,"ei")</f>
        <v>Thingsee PRESENCE</v>
      </c>
      <c r="F123" t="s">
        <v>659</v>
      </c>
      <c r="G123" s="3">
        <v>0.83</v>
      </c>
      <c r="H123" s="2">
        <v>46164.555891203701</v>
      </c>
      <c r="L123">
        <v>112073291</v>
      </c>
      <c r="M123" t="s">
        <v>512</v>
      </c>
      <c r="N123" t="s">
        <v>827</v>
      </c>
      <c r="O123" t="s">
        <v>671</v>
      </c>
      <c r="P123" t="s">
        <v>666</v>
      </c>
      <c r="Q123">
        <v>1</v>
      </c>
      <c r="R123" t="s">
        <v>670</v>
      </c>
      <c r="S123" t="s">
        <v>671</v>
      </c>
    </row>
    <row r="124" spans="1:19" x14ac:dyDescent="0.25">
      <c r="A124" t="s">
        <v>26</v>
      </c>
      <c r="B124" t="s">
        <v>3</v>
      </c>
      <c r="C124" t="s">
        <v>654</v>
      </c>
      <c r="D124" s="2" t="s">
        <v>650</v>
      </c>
      <c r="E124" t="str">
        <f>_xlfn.XLOOKUP(B124,Laitetyypit!A:A,Laitetyypit!B:B,"ei")</f>
        <v>Thingsee PRESENCE</v>
      </c>
      <c r="F124" t="s">
        <v>659</v>
      </c>
      <c r="G124" s="3">
        <v>0.88</v>
      </c>
      <c r="H124" s="2">
        <v>46164.556041666663</v>
      </c>
      <c r="L124">
        <v>112073292</v>
      </c>
      <c r="M124" t="s">
        <v>513</v>
      </c>
      <c r="N124" t="s">
        <v>827</v>
      </c>
      <c r="O124" t="s">
        <v>671</v>
      </c>
      <c r="P124" t="s">
        <v>666</v>
      </c>
      <c r="Q124">
        <v>1</v>
      </c>
      <c r="R124" t="s">
        <v>670</v>
      </c>
      <c r="S124" t="s">
        <v>671</v>
      </c>
    </row>
    <row r="125" spans="1:19" x14ac:dyDescent="0.25">
      <c r="A125" t="s">
        <v>186</v>
      </c>
      <c r="B125" t="s">
        <v>3</v>
      </c>
      <c r="C125" t="s">
        <v>654</v>
      </c>
      <c r="D125" s="2" t="s">
        <v>650</v>
      </c>
      <c r="E125" t="str">
        <f>_xlfn.XLOOKUP(B125,Laitetyypit!A:A,Laitetyypit!B:B,"ei")</f>
        <v>Thingsee PRESENCE</v>
      </c>
      <c r="F125" t="s">
        <v>659</v>
      </c>
      <c r="G125" s="3">
        <v>0.89</v>
      </c>
      <c r="H125" s="2">
        <v>46164.555763888886</v>
      </c>
      <c r="L125">
        <v>112073293</v>
      </c>
      <c r="M125" t="s">
        <v>514</v>
      </c>
      <c r="N125" t="s">
        <v>827</v>
      </c>
      <c r="O125" t="s">
        <v>671</v>
      </c>
      <c r="P125" t="s">
        <v>666</v>
      </c>
      <c r="Q125">
        <v>1</v>
      </c>
      <c r="R125" t="s">
        <v>670</v>
      </c>
      <c r="S125" t="s">
        <v>671</v>
      </c>
    </row>
    <row r="126" spans="1:19" x14ac:dyDescent="0.25">
      <c r="A126" t="s">
        <v>183</v>
      </c>
      <c r="B126" t="s">
        <v>3</v>
      </c>
      <c r="C126" t="s">
        <v>654</v>
      </c>
      <c r="D126" s="2" t="s">
        <v>650</v>
      </c>
      <c r="E126" t="str">
        <f>_xlfn.XLOOKUP(B126,Laitetyypit!A:A,Laitetyypit!B:B,"ei")</f>
        <v>Thingsee PRESENCE</v>
      </c>
      <c r="F126" t="s">
        <v>659</v>
      </c>
      <c r="G126" s="3">
        <v>0.88</v>
      </c>
      <c r="H126" s="2">
        <v>46164.550243055557</v>
      </c>
      <c r="L126">
        <v>112073294</v>
      </c>
      <c r="M126" t="s">
        <v>515</v>
      </c>
      <c r="N126" t="s">
        <v>827</v>
      </c>
      <c r="O126" t="s">
        <v>671</v>
      </c>
      <c r="P126" t="s">
        <v>666</v>
      </c>
      <c r="Q126">
        <v>1</v>
      </c>
      <c r="R126" t="s">
        <v>670</v>
      </c>
      <c r="S126" t="s">
        <v>671</v>
      </c>
    </row>
    <row r="127" spans="1:19" x14ac:dyDescent="0.25">
      <c r="A127" t="s">
        <v>156</v>
      </c>
      <c r="B127" t="s">
        <v>3</v>
      </c>
      <c r="C127" t="s">
        <v>654</v>
      </c>
      <c r="D127" s="2" t="s">
        <v>650</v>
      </c>
      <c r="E127" t="str">
        <f>_xlfn.XLOOKUP(B127,Laitetyypit!A:A,Laitetyypit!B:B,"ei")</f>
        <v>Thingsee PRESENCE</v>
      </c>
      <c r="F127" t="s">
        <v>659</v>
      </c>
      <c r="G127" s="3">
        <v>0.89</v>
      </c>
      <c r="H127" s="2">
        <v>46164.551064814812</v>
      </c>
      <c r="L127">
        <v>112073295</v>
      </c>
      <c r="M127" t="s">
        <v>516</v>
      </c>
      <c r="N127" t="s">
        <v>827</v>
      </c>
      <c r="O127" t="s">
        <v>671</v>
      </c>
      <c r="P127" t="s">
        <v>666</v>
      </c>
      <c r="Q127">
        <v>1</v>
      </c>
      <c r="R127" t="s">
        <v>670</v>
      </c>
      <c r="S127" t="s">
        <v>671</v>
      </c>
    </row>
    <row r="128" spans="1:19" x14ac:dyDescent="0.25">
      <c r="A128" t="s">
        <v>169</v>
      </c>
      <c r="B128" t="s">
        <v>3</v>
      </c>
      <c r="C128" t="s">
        <v>654</v>
      </c>
      <c r="D128" s="2" t="s">
        <v>650</v>
      </c>
      <c r="E128" t="str">
        <f>_xlfn.XLOOKUP(B128,Laitetyypit!A:A,Laitetyypit!B:B,"ei")</f>
        <v>Thingsee PRESENCE</v>
      </c>
      <c r="F128" t="s">
        <v>659</v>
      </c>
      <c r="G128" s="3">
        <v>0.9</v>
      </c>
      <c r="H128" s="2">
        <v>46164.550752314812</v>
      </c>
      <c r="L128">
        <v>112073296</v>
      </c>
      <c r="M128" t="s">
        <v>517</v>
      </c>
      <c r="N128" t="s">
        <v>827</v>
      </c>
      <c r="O128" t="s">
        <v>671</v>
      </c>
      <c r="P128" t="s">
        <v>666</v>
      </c>
      <c r="Q128">
        <v>1</v>
      </c>
      <c r="R128" t="s">
        <v>670</v>
      </c>
      <c r="S128" t="s">
        <v>671</v>
      </c>
    </row>
    <row r="129" spans="1:19" x14ac:dyDescent="0.25">
      <c r="A129" t="s">
        <v>49</v>
      </c>
      <c r="B129" t="s">
        <v>3</v>
      </c>
      <c r="C129" t="s">
        <v>654</v>
      </c>
      <c r="D129" s="2" t="s">
        <v>650</v>
      </c>
      <c r="E129" t="str">
        <f>_xlfn.XLOOKUP(B129,Laitetyypit!A:A,Laitetyypit!B:B,"ei")</f>
        <v>Thingsee PRESENCE</v>
      </c>
      <c r="F129" t="s">
        <v>659</v>
      </c>
      <c r="G129" s="3">
        <v>0.9</v>
      </c>
      <c r="H129" s="2">
        <v>46164.555798611109</v>
      </c>
      <c r="L129">
        <v>112073297</v>
      </c>
      <c r="M129" t="s">
        <v>518</v>
      </c>
      <c r="N129" t="s">
        <v>827</v>
      </c>
      <c r="O129" t="s">
        <v>671</v>
      </c>
      <c r="P129" t="s">
        <v>666</v>
      </c>
      <c r="Q129">
        <v>1</v>
      </c>
      <c r="R129" t="s">
        <v>670</v>
      </c>
      <c r="S129" t="s">
        <v>671</v>
      </c>
    </row>
    <row r="130" spans="1:19" x14ac:dyDescent="0.25">
      <c r="A130" t="s">
        <v>13</v>
      </c>
      <c r="B130" t="s">
        <v>3</v>
      </c>
      <c r="C130" t="s">
        <v>654</v>
      </c>
      <c r="D130" s="2" t="s">
        <v>650</v>
      </c>
      <c r="E130" t="str">
        <f>_xlfn.XLOOKUP(B130,Laitetyypit!A:A,Laitetyypit!B:B,"ei")</f>
        <v>Thingsee PRESENCE</v>
      </c>
      <c r="F130" t="s">
        <v>659</v>
      </c>
      <c r="G130" s="3">
        <v>0.9</v>
      </c>
      <c r="H130" s="2">
        <v>46164.53633101852</v>
      </c>
      <c r="L130">
        <v>112073298</v>
      </c>
      <c r="M130" t="s">
        <v>519</v>
      </c>
      <c r="N130" t="s">
        <v>827</v>
      </c>
      <c r="O130" t="s">
        <v>671</v>
      </c>
      <c r="P130" t="s">
        <v>666</v>
      </c>
      <c r="Q130">
        <v>1</v>
      </c>
      <c r="R130" t="s">
        <v>670</v>
      </c>
      <c r="S130" t="s">
        <v>671</v>
      </c>
    </row>
    <row r="131" spans="1:19" x14ac:dyDescent="0.25">
      <c r="A131" t="s">
        <v>180</v>
      </c>
      <c r="B131" t="s">
        <v>3</v>
      </c>
      <c r="C131" t="s">
        <v>654</v>
      </c>
      <c r="D131" s="2" t="s">
        <v>650</v>
      </c>
      <c r="E131" t="str">
        <f>_xlfn.XLOOKUP(B131,Laitetyypit!A:A,Laitetyypit!B:B,"ei")</f>
        <v>Thingsee PRESENCE</v>
      </c>
      <c r="F131" t="s">
        <v>659</v>
      </c>
      <c r="G131" s="3">
        <v>0.85</v>
      </c>
      <c r="H131" s="2">
        <v>46164.548391203702</v>
      </c>
      <c r="L131">
        <v>112073299</v>
      </c>
      <c r="M131" t="s">
        <v>520</v>
      </c>
      <c r="N131" t="s">
        <v>827</v>
      </c>
      <c r="O131" t="s">
        <v>671</v>
      </c>
      <c r="P131" t="s">
        <v>666</v>
      </c>
      <c r="Q131">
        <v>1</v>
      </c>
      <c r="R131" t="s">
        <v>670</v>
      </c>
      <c r="S131" t="s">
        <v>671</v>
      </c>
    </row>
    <row r="132" spans="1:19" x14ac:dyDescent="0.25">
      <c r="A132" t="s">
        <v>188</v>
      </c>
      <c r="B132" t="s">
        <v>3</v>
      </c>
      <c r="C132" t="s">
        <v>654</v>
      </c>
      <c r="D132" s="2" t="s">
        <v>650</v>
      </c>
      <c r="E132" t="str">
        <f>_xlfn.XLOOKUP(B132,Laitetyypit!A:A,Laitetyypit!B:B,"ei")</f>
        <v>Thingsee PRESENCE</v>
      </c>
      <c r="F132" t="s">
        <v>659</v>
      </c>
      <c r="G132" s="3">
        <v>0.85</v>
      </c>
      <c r="H132" s="2">
        <v>46164.555428240739</v>
      </c>
      <c r="L132">
        <v>112073300</v>
      </c>
      <c r="M132" t="s">
        <v>521</v>
      </c>
      <c r="N132" t="s">
        <v>827</v>
      </c>
      <c r="O132" t="s">
        <v>671</v>
      </c>
      <c r="P132" t="s">
        <v>666</v>
      </c>
      <c r="Q132">
        <v>1</v>
      </c>
      <c r="R132" t="s">
        <v>670</v>
      </c>
      <c r="S132" t="s">
        <v>671</v>
      </c>
    </row>
    <row r="133" spans="1:19" x14ac:dyDescent="0.25">
      <c r="A133" t="s">
        <v>131</v>
      </c>
      <c r="B133" t="s">
        <v>3</v>
      </c>
      <c r="C133" t="s">
        <v>654</v>
      </c>
      <c r="D133" s="2" t="s">
        <v>650</v>
      </c>
      <c r="E133" t="str">
        <f>_xlfn.XLOOKUP(B133,Laitetyypit!A:A,Laitetyypit!B:B,"ei")</f>
        <v>Thingsee PRESENCE</v>
      </c>
      <c r="F133" t="s">
        <v>659</v>
      </c>
      <c r="G133" s="3">
        <v>0.89</v>
      </c>
      <c r="H133" s="2">
        <v>46164.554791666669</v>
      </c>
      <c r="L133">
        <v>112073301</v>
      </c>
      <c r="M133" t="s">
        <v>526</v>
      </c>
      <c r="N133" t="s">
        <v>827</v>
      </c>
      <c r="O133" t="s">
        <v>671</v>
      </c>
      <c r="P133" t="s">
        <v>666</v>
      </c>
      <c r="Q133">
        <v>1</v>
      </c>
      <c r="R133" t="s">
        <v>670</v>
      </c>
      <c r="S133" t="s">
        <v>671</v>
      </c>
    </row>
    <row r="134" spans="1:19" x14ac:dyDescent="0.25">
      <c r="A134" t="s">
        <v>181</v>
      </c>
      <c r="B134" t="s">
        <v>3</v>
      </c>
      <c r="C134" t="s">
        <v>654</v>
      </c>
      <c r="D134" s="2" t="s">
        <v>650</v>
      </c>
      <c r="E134" t="str">
        <f>_xlfn.XLOOKUP(B134,Laitetyypit!A:A,Laitetyypit!B:B,"ei")</f>
        <v>Thingsee PRESENCE</v>
      </c>
      <c r="F134" t="s">
        <v>659</v>
      </c>
      <c r="G134" s="3">
        <v>0.88</v>
      </c>
      <c r="H134" s="2">
        <v>46164.542199074072</v>
      </c>
      <c r="L134">
        <v>112073302</v>
      </c>
      <c r="M134" t="s">
        <v>527</v>
      </c>
      <c r="N134" t="s">
        <v>827</v>
      </c>
      <c r="O134" t="s">
        <v>671</v>
      </c>
      <c r="P134" t="s">
        <v>666</v>
      </c>
      <c r="Q134">
        <v>1</v>
      </c>
      <c r="R134" t="s">
        <v>670</v>
      </c>
      <c r="S134" t="s">
        <v>671</v>
      </c>
    </row>
    <row r="135" spans="1:19" x14ac:dyDescent="0.25">
      <c r="A135" t="s">
        <v>185</v>
      </c>
      <c r="B135" t="s">
        <v>3</v>
      </c>
      <c r="C135" t="s">
        <v>654</v>
      </c>
      <c r="D135" s="2" t="s">
        <v>650</v>
      </c>
      <c r="E135" t="str">
        <f>_xlfn.XLOOKUP(B135,Laitetyypit!A:A,Laitetyypit!B:B,"ei")</f>
        <v>Thingsee PRESENCE</v>
      </c>
      <c r="F135" t="s">
        <v>659</v>
      </c>
      <c r="G135" s="3">
        <v>0.87</v>
      </c>
      <c r="H135" s="2">
        <v>46164.555995370371</v>
      </c>
      <c r="L135">
        <v>112073303</v>
      </c>
      <c r="M135" t="s">
        <v>528</v>
      </c>
      <c r="N135" t="s">
        <v>827</v>
      </c>
      <c r="O135" t="s">
        <v>671</v>
      </c>
      <c r="P135" t="s">
        <v>666</v>
      </c>
      <c r="Q135">
        <v>1</v>
      </c>
      <c r="R135" t="s">
        <v>670</v>
      </c>
      <c r="S135" t="s">
        <v>671</v>
      </c>
    </row>
    <row r="136" spans="1:19" x14ac:dyDescent="0.25">
      <c r="A136" t="s">
        <v>148</v>
      </c>
      <c r="B136" t="s">
        <v>3</v>
      </c>
      <c r="C136" t="s">
        <v>654</v>
      </c>
      <c r="D136" s="2" t="s">
        <v>650</v>
      </c>
      <c r="E136" t="str">
        <f>_xlfn.XLOOKUP(B136,Laitetyypit!A:A,Laitetyypit!B:B,"ei")</f>
        <v>Thingsee PRESENCE</v>
      </c>
      <c r="F136" t="s">
        <v>659</v>
      </c>
      <c r="G136" s="3">
        <v>0.86</v>
      </c>
      <c r="H136" s="2">
        <v>46164.549537037034</v>
      </c>
      <c r="L136">
        <v>112073304</v>
      </c>
      <c r="M136" t="s">
        <v>529</v>
      </c>
      <c r="N136" t="s">
        <v>827</v>
      </c>
      <c r="O136" t="s">
        <v>671</v>
      </c>
      <c r="P136" t="s">
        <v>666</v>
      </c>
      <c r="Q136">
        <v>1</v>
      </c>
      <c r="R136" t="s">
        <v>670</v>
      </c>
      <c r="S136" t="s">
        <v>671</v>
      </c>
    </row>
    <row r="137" spans="1:19" x14ac:dyDescent="0.25">
      <c r="A137" t="s">
        <v>94</v>
      </c>
      <c r="B137" t="s">
        <v>3</v>
      </c>
      <c r="C137" t="s">
        <v>654</v>
      </c>
      <c r="D137" s="2" t="s">
        <v>650</v>
      </c>
      <c r="E137" t="str">
        <f>_xlfn.XLOOKUP(B137,Laitetyypit!A:A,Laitetyypit!B:B,"ei")</f>
        <v>Thingsee PRESENCE</v>
      </c>
      <c r="F137" t="s">
        <v>659</v>
      </c>
      <c r="G137" s="3">
        <v>0.87</v>
      </c>
      <c r="H137" s="2">
        <v>46164.555659722224</v>
      </c>
      <c r="L137">
        <v>112073305</v>
      </c>
      <c r="M137" t="s">
        <v>530</v>
      </c>
      <c r="N137" t="s">
        <v>827</v>
      </c>
      <c r="O137" t="s">
        <v>671</v>
      </c>
      <c r="P137" t="s">
        <v>666</v>
      </c>
      <c r="Q137">
        <v>1</v>
      </c>
      <c r="R137" t="s">
        <v>670</v>
      </c>
      <c r="S137" t="s">
        <v>671</v>
      </c>
    </row>
    <row r="138" spans="1:19" x14ac:dyDescent="0.25">
      <c r="A138" t="s">
        <v>127</v>
      </c>
      <c r="B138" t="s">
        <v>3</v>
      </c>
      <c r="C138" t="s">
        <v>654</v>
      </c>
      <c r="D138" s="2" t="s">
        <v>650</v>
      </c>
      <c r="E138" t="str">
        <f>_xlfn.XLOOKUP(B138,Laitetyypit!A:A,Laitetyypit!B:B,"ei")</f>
        <v>Thingsee PRESENCE</v>
      </c>
      <c r="F138" t="s">
        <v>659</v>
      </c>
      <c r="G138" s="3">
        <v>0.87</v>
      </c>
      <c r="H138" s="2">
        <v>46164.548206018517</v>
      </c>
      <c r="L138">
        <v>112073306</v>
      </c>
      <c r="M138" t="s">
        <v>531</v>
      </c>
      <c r="N138" t="s">
        <v>827</v>
      </c>
      <c r="O138" t="s">
        <v>671</v>
      </c>
      <c r="P138" t="s">
        <v>666</v>
      </c>
      <c r="Q138">
        <v>1</v>
      </c>
      <c r="R138" t="s">
        <v>670</v>
      </c>
      <c r="S138" t="s">
        <v>671</v>
      </c>
    </row>
    <row r="139" spans="1:19" x14ac:dyDescent="0.25">
      <c r="A139" t="s">
        <v>205</v>
      </c>
      <c r="B139" t="s">
        <v>3</v>
      </c>
      <c r="C139" t="s">
        <v>654</v>
      </c>
      <c r="D139" s="2" t="s">
        <v>650</v>
      </c>
      <c r="E139" t="str">
        <f>_xlfn.XLOOKUP(B139,Laitetyypit!A:A,Laitetyypit!B:B,"ei")</f>
        <v>Thingsee PRESENCE</v>
      </c>
      <c r="F139" t="s">
        <v>659</v>
      </c>
      <c r="G139" s="3">
        <v>0.88</v>
      </c>
      <c r="H139" s="2">
        <v>46164.548958333333</v>
      </c>
      <c r="L139">
        <v>112073307</v>
      </c>
      <c r="M139" t="s">
        <v>532</v>
      </c>
      <c r="N139" t="s">
        <v>827</v>
      </c>
      <c r="O139" t="s">
        <v>671</v>
      </c>
      <c r="P139" t="s">
        <v>666</v>
      </c>
      <c r="Q139">
        <v>1</v>
      </c>
      <c r="R139" t="s">
        <v>670</v>
      </c>
      <c r="S139" t="s">
        <v>671</v>
      </c>
    </row>
    <row r="140" spans="1:19" x14ac:dyDescent="0.25">
      <c r="A140" t="s">
        <v>157</v>
      </c>
      <c r="B140" t="s">
        <v>3</v>
      </c>
      <c r="C140" t="s">
        <v>654</v>
      </c>
      <c r="D140" s="2" t="s">
        <v>650</v>
      </c>
      <c r="E140" t="str">
        <f>_xlfn.XLOOKUP(B140,Laitetyypit!A:A,Laitetyypit!B:B,"ei")</f>
        <v>Thingsee PRESENCE</v>
      </c>
      <c r="F140" t="s">
        <v>659</v>
      </c>
      <c r="G140" s="3">
        <v>0.87</v>
      </c>
      <c r="H140" s="2">
        <v>46164.537557870368</v>
      </c>
      <c r="L140">
        <v>112073308</v>
      </c>
      <c r="M140" t="s">
        <v>533</v>
      </c>
      <c r="N140" t="s">
        <v>827</v>
      </c>
      <c r="O140" t="s">
        <v>671</v>
      </c>
      <c r="P140" t="s">
        <v>666</v>
      </c>
      <c r="Q140">
        <v>1</v>
      </c>
      <c r="R140" t="s">
        <v>670</v>
      </c>
      <c r="S140" t="s">
        <v>671</v>
      </c>
    </row>
    <row r="141" spans="1:19" x14ac:dyDescent="0.25">
      <c r="A141" t="s">
        <v>56</v>
      </c>
      <c r="B141" t="s">
        <v>3</v>
      </c>
      <c r="C141" t="s">
        <v>654</v>
      </c>
      <c r="D141" s="2" t="s">
        <v>650</v>
      </c>
      <c r="E141" t="str">
        <f>_xlfn.XLOOKUP(B141,Laitetyypit!A:A,Laitetyypit!B:B,"ei")</f>
        <v>Thingsee PRESENCE</v>
      </c>
      <c r="F141" t="s">
        <v>659</v>
      </c>
      <c r="G141" s="3">
        <v>0.85</v>
      </c>
      <c r="H141" s="2">
        <v>46164.551134259258</v>
      </c>
      <c r="L141">
        <v>112073309</v>
      </c>
      <c r="M141" t="s">
        <v>534</v>
      </c>
      <c r="N141" t="s">
        <v>827</v>
      </c>
      <c r="O141" t="s">
        <v>671</v>
      </c>
      <c r="P141" t="s">
        <v>666</v>
      </c>
      <c r="Q141">
        <v>1</v>
      </c>
      <c r="R141" t="s">
        <v>670</v>
      </c>
      <c r="S141" t="s">
        <v>671</v>
      </c>
    </row>
    <row r="142" spans="1:19" x14ac:dyDescent="0.25">
      <c r="A142" t="s">
        <v>189</v>
      </c>
      <c r="B142" t="s">
        <v>3</v>
      </c>
      <c r="C142" t="s">
        <v>654</v>
      </c>
      <c r="D142" s="2" t="s">
        <v>650</v>
      </c>
      <c r="E142" t="str">
        <f>_xlfn.XLOOKUP(B142,Laitetyypit!A:A,Laitetyypit!B:B,"ei")</f>
        <v>Thingsee PRESENCE</v>
      </c>
      <c r="F142" t="s">
        <v>659</v>
      </c>
      <c r="G142" s="3">
        <v>0.91</v>
      </c>
      <c r="H142" s="2">
        <v>46164.538113425922</v>
      </c>
      <c r="L142">
        <v>112073310</v>
      </c>
      <c r="M142" t="s">
        <v>535</v>
      </c>
      <c r="N142" t="s">
        <v>827</v>
      </c>
      <c r="O142" t="s">
        <v>671</v>
      </c>
      <c r="P142" t="s">
        <v>666</v>
      </c>
      <c r="Q142">
        <v>1</v>
      </c>
      <c r="R142" t="s">
        <v>670</v>
      </c>
      <c r="S142" t="s">
        <v>671</v>
      </c>
    </row>
    <row r="143" spans="1:19" x14ac:dyDescent="0.25">
      <c r="A143" t="s">
        <v>55</v>
      </c>
      <c r="B143" t="s">
        <v>3</v>
      </c>
      <c r="C143" t="s">
        <v>654</v>
      </c>
      <c r="D143" s="2" t="s">
        <v>650</v>
      </c>
      <c r="E143" t="str">
        <f>_xlfn.XLOOKUP(B143,Laitetyypit!A:A,Laitetyypit!B:B,"ei")</f>
        <v>Thingsee PRESENCE</v>
      </c>
      <c r="F143" t="s">
        <v>659</v>
      </c>
      <c r="G143" s="3">
        <v>0.91</v>
      </c>
      <c r="H143" s="2">
        <v>46164.552048611113</v>
      </c>
      <c r="L143">
        <v>112073311</v>
      </c>
      <c r="M143" t="s">
        <v>536</v>
      </c>
      <c r="N143" t="s">
        <v>827</v>
      </c>
      <c r="O143" t="s">
        <v>671</v>
      </c>
      <c r="P143" t="s">
        <v>666</v>
      </c>
      <c r="Q143">
        <v>1</v>
      </c>
      <c r="R143" t="s">
        <v>670</v>
      </c>
      <c r="S143" t="s">
        <v>671</v>
      </c>
    </row>
    <row r="144" spans="1:19" x14ac:dyDescent="0.25">
      <c r="A144" t="s">
        <v>159</v>
      </c>
      <c r="B144" t="s">
        <v>3</v>
      </c>
      <c r="C144" t="s">
        <v>654</v>
      </c>
      <c r="D144" s="2" t="s">
        <v>650</v>
      </c>
      <c r="E144" t="str">
        <f>_xlfn.XLOOKUP(B144,Laitetyypit!A:A,Laitetyypit!B:B,"ei")</f>
        <v>Thingsee PRESENCE</v>
      </c>
      <c r="F144" t="s">
        <v>659</v>
      </c>
      <c r="G144" s="3">
        <v>0.91</v>
      </c>
      <c r="H144" s="2">
        <v>46164.555972222224</v>
      </c>
      <c r="L144">
        <v>112073312</v>
      </c>
      <c r="M144" t="s">
        <v>537</v>
      </c>
      <c r="N144" t="s">
        <v>827</v>
      </c>
      <c r="O144" t="s">
        <v>671</v>
      </c>
      <c r="P144" t="s">
        <v>666</v>
      </c>
      <c r="Q144">
        <v>1</v>
      </c>
      <c r="R144" t="s">
        <v>670</v>
      </c>
      <c r="S144" t="s">
        <v>671</v>
      </c>
    </row>
    <row r="145" spans="1:19" x14ac:dyDescent="0.25">
      <c r="A145" t="s">
        <v>167</v>
      </c>
      <c r="B145" t="s">
        <v>3</v>
      </c>
      <c r="C145" t="s">
        <v>654</v>
      </c>
      <c r="D145" s="2" t="s">
        <v>650</v>
      </c>
      <c r="E145" t="str">
        <f>_xlfn.XLOOKUP(B145,Laitetyypit!A:A,Laitetyypit!B:B,"ei")</f>
        <v>Thingsee PRESENCE</v>
      </c>
      <c r="F145" t="s">
        <v>659</v>
      </c>
      <c r="G145" s="3">
        <v>0.89</v>
      </c>
      <c r="H145" s="2">
        <v>46164.53869212963</v>
      </c>
      <c r="L145">
        <v>112073313</v>
      </c>
      <c r="M145" t="s">
        <v>538</v>
      </c>
      <c r="N145" t="s">
        <v>827</v>
      </c>
      <c r="O145" t="s">
        <v>671</v>
      </c>
      <c r="P145" t="s">
        <v>666</v>
      </c>
      <c r="Q145">
        <v>1</v>
      </c>
      <c r="R145" t="s">
        <v>670</v>
      </c>
      <c r="S145" t="s">
        <v>671</v>
      </c>
    </row>
    <row r="146" spans="1:19" x14ac:dyDescent="0.25">
      <c r="A146" t="s">
        <v>59</v>
      </c>
      <c r="B146" t="s">
        <v>3</v>
      </c>
      <c r="C146" t="s">
        <v>654</v>
      </c>
      <c r="D146" s="2" t="s">
        <v>650</v>
      </c>
      <c r="E146" t="str">
        <f>_xlfn.XLOOKUP(B146,Laitetyypit!A:A,Laitetyypit!B:B,"ei")</f>
        <v>Thingsee PRESENCE</v>
      </c>
      <c r="F146" t="s">
        <v>659</v>
      </c>
      <c r="G146" s="3">
        <v>0.9</v>
      </c>
      <c r="H146" s="2">
        <v>46164.539282407408</v>
      </c>
      <c r="L146">
        <v>112073314</v>
      </c>
      <c r="M146" t="s">
        <v>539</v>
      </c>
      <c r="N146" t="s">
        <v>827</v>
      </c>
      <c r="O146" t="s">
        <v>671</v>
      </c>
      <c r="P146" t="s">
        <v>666</v>
      </c>
      <c r="Q146">
        <v>1</v>
      </c>
      <c r="R146" t="s">
        <v>670</v>
      </c>
      <c r="S146" t="s">
        <v>671</v>
      </c>
    </row>
    <row r="147" spans="1:19" x14ac:dyDescent="0.25">
      <c r="A147" t="s">
        <v>163</v>
      </c>
      <c r="B147" t="s">
        <v>3</v>
      </c>
      <c r="C147" t="s">
        <v>654</v>
      </c>
      <c r="D147" s="2" t="s">
        <v>650</v>
      </c>
      <c r="E147" t="str">
        <f>_xlfn.XLOOKUP(B147,Laitetyypit!A:A,Laitetyypit!B:B,"ei")</f>
        <v>Thingsee PRESENCE</v>
      </c>
      <c r="F147" t="s">
        <v>659</v>
      </c>
      <c r="G147" s="3">
        <v>0.9</v>
      </c>
      <c r="H147" s="2">
        <v>46164.556006944447</v>
      </c>
      <c r="L147">
        <v>112073315</v>
      </c>
      <c r="M147" t="s">
        <v>540</v>
      </c>
      <c r="N147" t="s">
        <v>827</v>
      </c>
      <c r="O147" t="s">
        <v>671</v>
      </c>
      <c r="P147" t="s">
        <v>666</v>
      </c>
      <c r="Q147">
        <v>1</v>
      </c>
      <c r="R147" t="s">
        <v>670</v>
      </c>
      <c r="S147" t="s">
        <v>671</v>
      </c>
    </row>
    <row r="148" spans="1:19" x14ac:dyDescent="0.25">
      <c r="A148" t="s">
        <v>69</v>
      </c>
      <c r="B148" t="s">
        <v>3</v>
      </c>
      <c r="C148" t="s">
        <v>654</v>
      </c>
      <c r="D148" s="2" t="s">
        <v>650</v>
      </c>
      <c r="E148" t="str">
        <f>_xlfn.XLOOKUP(B148,Laitetyypit!A:A,Laitetyypit!B:B,"ei")</f>
        <v>Thingsee PRESENCE</v>
      </c>
      <c r="F148" t="s">
        <v>659</v>
      </c>
      <c r="G148" s="3">
        <v>0.89</v>
      </c>
      <c r="H148" s="2">
        <v>46164.549571759257</v>
      </c>
      <c r="L148">
        <v>112073316</v>
      </c>
      <c r="M148" t="s">
        <v>541</v>
      </c>
      <c r="N148" t="s">
        <v>827</v>
      </c>
      <c r="O148" t="s">
        <v>671</v>
      </c>
      <c r="P148" t="s">
        <v>666</v>
      </c>
      <c r="Q148">
        <v>1</v>
      </c>
      <c r="R148" t="s">
        <v>670</v>
      </c>
      <c r="S148" t="s">
        <v>671</v>
      </c>
    </row>
    <row r="149" spans="1:19" x14ac:dyDescent="0.25">
      <c r="A149" t="s">
        <v>14</v>
      </c>
      <c r="B149" t="s">
        <v>3</v>
      </c>
      <c r="C149" t="s">
        <v>654</v>
      </c>
      <c r="D149" s="2" t="s">
        <v>650</v>
      </c>
      <c r="E149" t="str">
        <f>_xlfn.XLOOKUP(B149,Laitetyypit!A:A,Laitetyypit!B:B,"ei")</f>
        <v>Thingsee PRESENCE</v>
      </c>
      <c r="F149" t="s">
        <v>659</v>
      </c>
      <c r="G149" s="3">
        <v>0.9</v>
      </c>
      <c r="H149" s="2">
        <v>46164.540405092594</v>
      </c>
      <c r="L149">
        <v>112073317</v>
      </c>
      <c r="M149" t="s">
        <v>542</v>
      </c>
      <c r="N149" t="s">
        <v>827</v>
      </c>
      <c r="O149" t="s">
        <v>671</v>
      </c>
      <c r="P149" t="s">
        <v>666</v>
      </c>
      <c r="Q149">
        <v>1</v>
      </c>
      <c r="R149" t="s">
        <v>670</v>
      </c>
      <c r="S149" t="s">
        <v>671</v>
      </c>
    </row>
    <row r="150" spans="1:19" x14ac:dyDescent="0.25">
      <c r="A150" t="s">
        <v>104</v>
      </c>
      <c r="B150" t="s">
        <v>3</v>
      </c>
      <c r="C150" t="s">
        <v>654</v>
      </c>
      <c r="D150" s="2" t="s">
        <v>650</v>
      </c>
      <c r="E150" t="str">
        <f>_xlfn.XLOOKUP(B150,Laitetyypit!A:A,Laitetyypit!B:B,"ei")</f>
        <v>Thingsee PRESENCE</v>
      </c>
      <c r="F150" t="s">
        <v>659</v>
      </c>
      <c r="G150" s="3">
        <v>0.9</v>
      </c>
      <c r="H150" s="2">
        <v>46164.542557870373</v>
      </c>
      <c r="L150">
        <v>112073318</v>
      </c>
      <c r="M150" t="s">
        <v>543</v>
      </c>
      <c r="N150" t="s">
        <v>827</v>
      </c>
      <c r="O150" t="s">
        <v>671</v>
      </c>
      <c r="P150" t="s">
        <v>666</v>
      </c>
      <c r="Q150">
        <v>1</v>
      </c>
      <c r="R150" t="s">
        <v>670</v>
      </c>
      <c r="S150" t="s">
        <v>671</v>
      </c>
    </row>
    <row r="151" spans="1:19" x14ac:dyDescent="0.25">
      <c r="A151" t="s">
        <v>83</v>
      </c>
      <c r="B151" t="s">
        <v>3</v>
      </c>
      <c r="C151" t="s">
        <v>654</v>
      </c>
      <c r="D151" s="2" t="s">
        <v>650</v>
      </c>
      <c r="E151" t="str">
        <f>_xlfn.XLOOKUP(B151,Laitetyypit!A:A,Laitetyypit!B:B,"ei")</f>
        <v>Thingsee PRESENCE</v>
      </c>
      <c r="F151" t="s">
        <v>659</v>
      </c>
      <c r="G151" s="3">
        <v>0.85</v>
      </c>
      <c r="H151" s="2">
        <v>46164.554814814815</v>
      </c>
      <c r="L151">
        <v>112073319</v>
      </c>
      <c r="M151" t="s">
        <v>544</v>
      </c>
      <c r="N151" t="s">
        <v>827</v>
      </c>
      <c r="O151" t="s">
        <v>671</v>
      </c>
      <c r="P151" t="s">
        <v>666</v>
      </c>
      <c r="Q151">
        <v>1</v>
      </c>
      <c r="R151" t="s">
        <v>670</v>
      </c>
      <c r="S151" t="s">
        <v>671</v>
      </c>
    </row>
    <row r="152" spans="1:19" x14ac:dyDescent="0.25">
      <c r="A152" t="s">
        <v>136</v>
      </c>
      <c r="B152" t="s">
        <v>3</v>
      </c>
      <c r="C152" t="s">
        <v>654</v>
      </c>
      <c r="D152" s="2" t="s">
        <v>650</v>
      </c>
      <c r="E152" t="str">
        <f>_xlfn.XLOOKUP(B152,Laitetyypit!A:A,Laitetyypit!B:B,"ei")</f>
        <v>Thingsee PRESENCE</v>
      </c>
      <c r="F152" t="s">
        <v>659</v>
      </c>
      <c r="G152" s="3">
        <v>0.87</v>
      </c>
      <c r="H152" s="2">
        <v>46164.538136574076</v>
      </c>
      <c r="L152">
        <v>112073320</v>
      </c>
      <c r="M152" t="s">
        <v>545</v>
      </c>
      <c r="N152" t="s">
        <v>827</v>
      </c>
      <c r="O152" t="s">
        <v>671</v>
      </c>
      <c r="P152" t="s">
        <v>666</v>
      </c>
      <c r="Q152">
        <v>1</v>
      </c>
      <c r="R152" t="s">
        <v>670</v>
      </c>
      <c r="S152" t="s">
        <v>671</v>
      </c>
    </row>
    <row r="153" spans="1:19" x14ac:dyDescent="0.25">
      <c r="A153" t="s">
        <v>54</v>
      </c>
      <c r="B153" t="s">
        <v>3</v>
      </c>
      <c r="C153" t="s">
        <v>654</v>
      </c>
      <c r="D153" s="2" t="s">
        <v>650</v>
      </c>
      <c r="E153" t="str">
        <f>_xlfn.XLOOKUP(B153,Laitetyypit!A:A,Laitetyypit!B:B,"ei")</f>
        <v>Thingsee PRESENCE</v>
      </c>
      <c r="F153" t="s">
        <v>659</v>
      </c>
      <c r="G153" s="3">
        <v>0.86</v>
      </c>
      <c r="H153" s="2">
        <v>46164.539780092593</v>
      </c>
      <c r="L153">
        <v>112073321</v>
      </c>
      <c r="M153" t="s">
        <v>546</v>
      </c>
      <c r="N153" t="s">
        <v>827</v>
      </c>
      <c r="O153" t="s">
        <v>671</v>
      </c>
      <c r="P153" t="s">
        <v>666</v>
      </c>
      <c r="Q153">
        <v>1</v>
      </c>
      <c r="R153" t="s">
        <v>670</v>
      </c>
      <c r="S153" t="s">
        <v>671</v>
      </c>
    </row>
    <row r="154" spans="1:19" x14ac:dyDescent="0.25">
      <c r="A154" t="s">
        <v>79</v>
      </c>
      <c r="B154" t="s">
        <v>3</v>
      </c>
      <c r="C154" t="s">
        <v>654</v>
      </c>
      <c r="D154" s="2" t="s">
        <v>650</v>
      </c>
      <c r="E154" t="str">
        <f>_xlfn.XLOOKUP(B154,Laitetyypit!A:A,Laitetyypit!B:B,"ei")</f>
        <v>Thingsee PRESENCE</v>
      </c>
      <c r="F154" t="s">
        <v>659</v>
      </c>
      <c r="G154" s="3">
        <v>0.86</v>
      </c>
      <c r="H154" s="2">
        <v>46164.540312500001</v>
      </c>
      <c r="L154">
        <v>112073322</v>
      </c>
      <c r="M154" t="s">
        <v>547</v>
      </c>
      <c r="N154" t="s">
        <v>827</v>
      </c>
      <c r="O154" t="s">
        <v>671</v>
      </c>
      <c r="P154" t="s">
        <v>666</v>
      </c>
      <c r="Q154">
        <v>1</v>
      </c>
      <c r="R154" t="s">
        <v>670</v>
      </c>
      <c r="S154" t="s">
        <v>671</v>
      </c>
    </row>
    <row r="155" spans="1:19" x14ac:dyDescent="0.25">
      <c r="A155" t="s">
        <v>143</v>
      </c>
      <c r="B155" t="s">
        <v>3</v>
      </c>
      <c r="C155" t="s">
        <v>654</v>
      </c>
      <c r="D155" s="2" t="s">
        <v>650</v>
      </c>
      <c r="E155" t="str">
        <f>_xlfn.XLOOKUP(B155,Laitetyypit!A:A,Laitetyypit!B:B,"ei")</f>
        <v>Thingsee PRESENCE</v>
      </c>
      <c r="F155" t="s">
        <v>659</v>
      </c>
      <c r="G155" s="3">
        <v>0.85</v>
      </c>
      <c r="H155" s="2">
        <v>46164.555011574077</v>
      </c>
      <c r="L155">
        <v>112073323</v>
      </c>
      <c r="M155" t="s">
        <v>548</v>
      </c>
      <c r="N155" t="s">
        <v>827</v>
      </c>
      <c r="O155" t="s">
        <v>671</v>
      </c>
      <c r="P155" t="s">
        <v>666</v>
      </c>
      <c r="Q155">
        <v>1</v>
      </c>
      <c r="R155" t="s">
        <v>670</v>
      </c>
      <c r="S155" t="s">
        <v>671</v>
      </c>
    </row>
    <row r="156" spans="1:19" x14ac:dyDescent="0.25">
      <c r="A156" t="s">
        <v>25</v>
      </c>
      <c r="B156" t="s">
        <v>3</v>
      </c>
      <c r="C156" t="s">
        <v>654</v>
      </c>
      <c r="D156" s="2" t="s">
        <v>650</v>
      </c>
      <c r="E156" t="str">
        <f>_xlfn.XLOOKUP(B156,Laitetyypit!A:A,Laitetyypit!B:B,"ei")</f>
        <v>Thingsee PRESENCE</v>
      </c>
      <c r="F156" t="s">
        <v>659</v>
      </c>
      <c r="G156" s="3">
        <v>0.83</v>
      </c>
      <c r="H156" s="2">
        <v>46164.542303240742</v>
      </c>
      <c r="L156">
        <v>112073324</v>
      </c>
      <c r="M156" t="s">
        <v>549</v>
      </c>
      <c r="N156" t="s">
        <v>827</v>
      </c>
      <c r="O156" t="s">
        <v>671</v>
      </c>
      <c r="P156" t="s">
        <v>666</v>
      </c>
      <c r="Q156">
        <v>1</v>
      </c>
      <c r="R156" t="s">
        <v>670</v>
      </c>
      <c r="S156" t="s">
        <v>671</v>
      </c>
    </row>
    <row r="157" spans="1:19" x14ac:dyDescent="0.25">
      <c r="A157" t="s">
        <v>81</v>
      </c>
      <c r="B157" t="s">
        <v>3</v>
      </c>
      <c r="C157" t="s">
        <v>654</v>
      </c>
      <c r="D157" s="2" t="s">
        <v>650</v>
      </c>
      <c r="E157" t="str">
        <f>_xlfn.XLOOKUP(B157,Laitetyypit!A:A,Laitetyypit!B:B,"ei")</f>
        <v>Thingsee PRESENCE</v>
      </c>
      <c r="F157" t="s">
        <v>659</v>
      </c>
      <c r="G157" s="3">
        <v>0.85</v>
      </c>
      <c r="H157" s="2">
        <v>46164.553622685184</v>
      </c>
      <c r="L157">
        <v>112073325</v>
      </c>
      <c r="M157" t="s">
        <v>550</v>
      </c>
      <c r="N157" t="s">
        <v>827</v>
      </c>
      <c r="O157" t="s">
        <v>671</v>
      </c>
      <c r="P157" t="s">
        <v>666</v>
      </c>
      <c r="Q157">
        <v>1</v>
      </c>
      <c r="R157" t="s">
        <v>670</v>
      </c>
      <c r="S157" t="s">
        <v>671</v>
      </c>
    </row>
    <row r="158" spans="1:19" x14ac:dyDescent="0.25">
      <c r="A158" t="s">
        <v>35</v>
      </c>
      <c r="B158" t="s">
        <v>3</v>
      </c>
      <c r="C158" t="s">
        <v>654</v>
      </c>
      <c r="D158" s="2" t="s">
        <v>650</v>
      </c>
      <c r="E158" t="str">
        <f>_xlfn.XLOOKUP(B158,Laitetyypit!A:A,Laitetyypit!B:B,"ei")</f>
        <v>Thingsee PRESENCE</v>
      </c>
      <c r="F158" t="s">
        <v>659</v>
      </c>
      <c r="G158" s="3">
        <v>0.86</v>
      </c>
      <c r="H158" s="2">
        <v>46164.549039351848</v>
      </c>
      <c r="L158">
        <v>112073326</v>
      </c>
      <c r="M158" t="s">
        <v>551</v>
      </c>
      <c r="N158" t="s">
        <v>827</v>
      </c>
      <c r="O158" t="s">
        <v>671</v>
      </c>
      <c r="P158" t="s">
        <v>666</v>
      </c>
      <c r="Q158">
        <v>1</v>
      </c>
      <c r="R158" t="s">
        <v>670</v>
      </c>
      <c r="S158" t="s">
        <v>671</v>
      </c>
    </row>
    <row r="159" spans="1:19" x14ac:dyDescent="0.25">
      <c r="A159" t="s">
        <v>147</v>
      </c>
      <c r="B159" t="s">
        <v>3</v>
      </c>
      <c r="C159" t="s">
        <v>654</v>
      </c>
      <c r="D159" s="2" t="s">
        <v>650</v>
      </c>
      <c r="E159" t="str">
        <f>_xlfn.XLOOKUP(B159,Laitetyypit!A:A,Laitetyypit!B:B,"ei")</f>
        <v>Thingsee PRESENCE</v>
      </c>
      <c r="F159" t="s">
        <v>659</v>
      </c>
      <c r="G159" s="3">
        <v>0.87</v>
      </c>
      <c r="H159" s="2">
        <v>46164.555995370371</v>
      </c>
      <c r="L159">
        <v>112073327</v>
      </c>
      <c r="M159" t="s">
        <v>552</v>
      </c>
      <c r="N159" t="s">
        <v>827</v>
      </c>
      <c r="O159" t="s">
        <v>671</v>
      </c>
      <c r="P159" t="s">
        <v>666</v>
      </c>
      <c r="Q159">
        <v>1</v>
      </c>
      <c r="R159" t="s">
        <v>670</v>
      </c>
      <c r="S159" t="s">
        <v>671</v>
      </c>
    </row>
    <row r="160" spans="1:19" x14ac:dyDescent="0.25">
      <c r="A160" t="s">
        <v>53</v>
      </c>
      <c r="B160" t="s">
        <v>3</v>
      </c>
      <c r="C160" t="s">
        <v>654</v>
      </c>
      <c r="D160" s="2" t="s">
        <v>650</v>
      </c>
      <c r="E160" t="str">
        <f>_xlfn.XLOOKUP(B160,Laitetyypit!A:A,Laitetyypit!B:B,"ei")</f>
        <v>Thingsee PRESENCE</v>
      </c>
      <c r="F160" t="s">
        <v>659</v>
      </c>
      <c r="G160" s="3">
        <v>0.87</v>
      </c>
      <c r="H160" s="2">
        <v>46164.552986111114</v>
      </c>
      <c r="L160">
        <v>112073328</v>
      </c>
      <c r="M160" t="s">
        <v>553</v>
      </c>
      <c r="N160" t="s">
        <v>827</v>
      </c>
      <c r="O160" t="s">
        <v>671</v>
      </c>
      <c r="P160" t="s">
        <v>666</v>
      </c>
      <c r="Q160">
        <v>1</v>
      </c>
      <c r="R160" t="s">
        <v>670</v>
      </c>
      <c r="S160" t="s">
        <v>671</v>
      </c>
    </row>
    <row r="161" spans="1:19" x14ac:dyDescent="0.25">
      <c r="A161" t="s">
        <v>28</v>
      </c>
      <c r="B161" t="s">
        <v>3</v>
      </c>
      <c r="C161" t="s">
        <v>654</v>
      </c>
      <c r="D161" s="2" t="s">
        <v>650</v>
      </c>
      <c r="E161" t="str">
        <f>_xlfn.XLOOKUP(B161,Laitetyypit!A:A,Laitetyypit!B:B,"ei")</f>
        <v>Thingsee PRESENCE</v>
      </c>
      <c r="F161" t="s">
        <v>659</v>
      </c>
      <c r="G161" s="3">
        <v>0.84</v>
      </c>
      <c r="H161" s="2">
        <v>46164.539467592593</v>
      </c>
      <c r="L161">
        <v>112073329</v>
      </c>
      <c r="M161" t="s">
        <v>554</v>
      </c>
      <c r="N161" t="s">
        <v>827</v>
      </c>
      <c r="O161" t="s">
        <v>671</v>
      </c>
      <c r="P161" t="s">
        <v>666</v>
      </c>
      <c r="Q161">
        <v>1</v>
      </c>
      <c r="R161" t="s">
        <v>670</v>
      </c>
      <c r="S161" t="s">
        <v>671</v>
      </c>
    </row>
    <row r="162" spans="1:19" x14ac:dyDescent="0.25">
      <c r="A162" t="s">
        <v>82</v>
      </c>
      <c r="B162" t="s">
        <v>3</v>
      </c>
      <c r="C162" t="s">
        <v>654</v>
      </c>
      <c r="D162" s="2" t="s">
        <v>650</v>
      </c>
      <c r="E162" t="str">
        <f>_xlfn.XLOOKUP(B162,Laitetyypit!A:A,Laitetyypit!B:B,"ei")</f>
        <v>Thingsee PRESENCE</v>
      </c>
      <c r="F162" t="s">
        <v>659</v>
      </c>
      <c r="G162" s="3">
        <v>0.87</v>
      </c>
      <c r="H162" s="2">
        <v>46164.548506944448</v>
      </c>
      <c r="L162">
        <v>112073330</v>
      </c>
      <c r="M162" t="s">
        <v>555</v>
      </c>
      <c r="N162" t="s">
        <v>827</v>
      </c>
      <c r="O162" t="s">
        <v>671</v>
      </c>
      <c r="P162" t="s">
        <v>666</v>
      </c>
      <c r="Q162">
        <v>1</v>
      </c>
      <c r="R162" t="s">
        <v>670</v>
      </c>
      <c r="S162" t="s">
        <v>671</v>
      </c>
    </row>
    <row r="163" spans="1:19" x14ac:dyDescent="0.25">
      <c r="A163" t="s">
        <v>99</v>
      </c>
      <c r="B163" t="s">
        <v>3</v>
      </c>
      <c r="C163" t="s">
        <v>654</v>
      </c>
      <c r="D163" s="2" t="s">
        <v>650</v>
      </c>
      <c r="E163" t="str">
        <f>_xlfn.XLOOKUP(B163,Laitetyypit!A:A,Laitetyypit!B:B,"ei")</f>
        <v>Thingsee PRESENCE</v>
      </c>
      <c r="F163" t="s">
        <v>659</v>
      </c>
      <c r="G163" s="3">
        <v>0.87</v>
      </c>
      <c r="H163" s="2">
        <v>46164.543738425928</v>
      </c>
      <c r="L163">
        <v>112073331</v>
      </c>
      <c r="M163" t="s">
        <v>556</v>
      </c>
      <c r="N163" t="s">
        <v>827</v>
      </c>
      <c r="O163" t="s">
        <v>671</v>
      </c>
      <c r="P163" t="s">
        <v>666</v>
      </c>
      <c r="Q163">
        <v>1</v>
      </c>
      <c r="R163" t="s">
        <v>670</v>
      </c>
      <c r="S163" t="s">
        <v>671</v>
      </c>
    </row>
    <row r="164" spans="1:19" x14ac:dyDescent="0.25">
      <c r="A164" t="s">
        <v>38</v>
      </c>
      <c r="B164" t="s">
        <v>3</v>
      </c>
      <c r="C164" t="s">
        <v>654</v>
      </c>
      <c r="D164" s="2" t="s">
        <v>650</v>
      </c>
      <c r="E164" t="str">
        <f>_xlfn.XLOOKUP(B164,Laitetyypit!A:A,Laitetyypit!B:B,"ei")</f>
        <v>Thingsee PRESENCE</v>
      </c>
      <c r="F164" t="s">
        <v>659</v>
      </c>
      <c r="G164" s="3">
        <v>0.85</v>
      </c>
      <c r="H164" s="2">
        <v>46164.554456018515</v>
      </c>
      <c r="L164">
        <v>112073332</v>
      </c>
      <c r="M164" t="s">
        <v>557</v>
      </c>
      <c r="N164" t="s">
        <v>827</v>
      </c>
      <c r="O164" t="s">
        <v>671</v>
      </c>
      <c r="P164" t="s">
        <v>666</v>
      </c>
      <c r="Q164">
        <v>1</v>
      </c>
      <c r="R164" t="s">
        <v>670</v>
      </c>
      <c r="S164" t="s">
        <v>671</v>
      </c>
    </row>
    <row r="165" spans="1:19" x14ac:dyDescent="0.25">
      <c r="A165" t="s">
        <v>187</v>
      </c>
      <c r="B165" t="s">
        <v>3</v>
      </c>
      <c r="C165" t="s">
        <v>654</v>
      </c>
      <c r="D165" s="2" t="s">
        <v>650</v>
      </c>
      <c r="E165" t="str">
        <f>_xlfn.XLOOKUP(B165,Laitetyypit!A:A,Laitetyypit!B:B,"ei")</f>
        <v>Thingsee PRESENCE</v>
      </c>
      <c r="F165" t="s">
        <v>659</v>
      </c>
      <c r="G165" s="3">
        <v>0.85</v>
      </c>
      <c r="H165" s="2">
        <v>46164.553738425922</v>
      </c>
      <c r="L165">
        <v>112073333</v>
      </c>
      <c r="M165" t="s">
        <v>558</v>
      </c>
      <c r="N165" t="s">
        <v>827</v>
      </c>
      <c r="O165" t="s">
        <v>671</v>
      </c>
      <c r="P165" t="s">
        <v>666</v>
      </c>
      <c r="Q165">
        <v>1</v>
      </c>
      <c r="R165" t="s">
        <v>670</v>
      </c>
      <c r="S165" t="s">
        <v>671</v>
      </c>
    </row>
    <row r="166" spans="1:19" x14ac:dyDescent="0.25">
      <c r="A166" t="s">
        <v>100</v>
      </c>
      <c r="B166" t="s">
        <v>3</v>
      </c>
      <c r="C166" t="s">
        <v>654</v>
      </c>
      <c r="D166" s="2" t="s">
        <v>650</v>
      </c>
      <c r="E166" t="str">
        <f>_xlfn.XLOOKUP(B166,Laitetyypit!A:A,Laitetyypit!B:B,"ei")</f>
        <v>Thingsee PRESENCE</v>
      </c>
      <c r="F166" t="s">
        <v>659</v>
      </c>
      <c r="G166" s="3">
        <v>0.89</v>
      </c>
      <c r="H166" s="2">
        <v>46164.551099537035</v>
      </c>
      <c r="L166">
        <v>112073335</v>
      </c>
      <c r="M166" t="s">
        <v>559</v>
      </c>
      <c r="N166" t="s">
        <v>827</v>
      </c>
      <c r="O166" t="s">
        <v>671</v>
      </c>
      <c r="P166" t="s">
        <v>666</v>
      </c>
      <c r="Q166">
        <v>1</v>
      </c>
      <c r="R166" t="s">
        <v>670</v>
      </c>
      <c r="S166" t="s">
        <v>671</v>
      </c>
    </row>
    <row r="167" spans="1:19" x14ac:dyDescent="0.25">
      <c r="A167" t="s">
        <v>119</v>
      </c>
      <c r="B167" t="s">
        <v>3</v>
      </c>
      <c r="C167" t="s">
        <v>654</v>
      </c>
      <c r="D167" s="2" t="s">
        <v>650</v>
      </c>
      <c r="E167" t="str">
        <f>_xlfn.XLOOKUP(B167,Laitetyypit!A:A,Laitetyypit!B:B,"ei")</f>
        <v>Thingsee PRESENCE</v>
      </c>
      <c r="F167" t="s">
        <v>659</v>
      </c>
      <c r="G167" s="3">
        <v>0.86</v>
      </c>
      <c r="H167" s="2">
        <v>46164.54011574074</v>
      </c>
      <c r="L167">
        <v>112073336</v>
      </c>
      <c r="M167" t="s">
        <v>560</v>
      </c>
      <c r="N167" t="s">
        <v>827</v>
      </c>
      <c r="O167" t="s">
        <v>671</v>
      </c>
      <c r="P167" t="s">
        <v>666</v>
      </c>
      <c r="Q167">
        <v>1</v>
      </c>
      <c r="R167" t="s">
        <v>670</v>
      </c>
      <c r="S167" t="s">
        <v>671</v>
      </c>
    </row>
    <row r="168" spans="1:19" x14ac:dyDescent="0.25">
      <c r="A168" t="s">
        <v>39</v>
      </c>
      <c r="B168" t="s">
        <v>3</v>
      </c>
      <c r="C168" t="s">
        <v>654</v>
      </c>
      <c r="D168" s="2" t="s">
        <v>650</v>
      </c>
      <c r="E168" t="str">
        <f>_xlfn.XLOOKUP(B168,Laitetyypit!A:A,Laitetyypit!B:B,"ei")</f>
        <v>Thingsee PRESENCE</v>
      </c>
      <c r="F168" t="s">
        <v>659</v>
      </c>
      <c r="G168" s="3">
        <v>0.85</v>
      </c>
      <c r="H168" s="2">
        <v>46164.540185185186</v>
      </c>
      <c r="L168">
        <v>112073337</v>
      </c>
      <c r="M168" t="s">
        <v>561</v>
      </c>
      <c r="N168" t="s">
        <v>827</v>
      </c>
      <c r="O168" t="s">
        <v>671</v>
      </c>
      <c r="P168" t="s">
        <v>666</v>
      </c>
      <c r="Q168">
        <v>1</v>
      </c>
      <c r="R168" t="s">
        <v>670</v>
      </c>
      <c r="S168" t="s">
        <v>671</v>
      </c>
    </row>
    <row r="169" spans="1:19" x14ac:dyDescent="0.25">
      <c r="A169" t="s">
        <v>172</v>
      </c>
      <c r="B169" t="s">
        <v>3</v>
      </c>
      <c r="C169" t="s">
        <v>654</v>
      </c>
      <c r="D169" s="2" t="s">
        <v>650</v>
      </c>
      <c r="E169" t="str">
        <f>_xlfn.XLOOKUP(B169,Laitetyypit!A:A,Laitetyypit!B:B,"ei")</f>
        <v>Thingsee PRESENCE</v>
      </c>
      <c r="F169" t="s">
        <v>659</v>
      </c>
      <c r="G169" s="3">
        <v>0.86</v>
      </c>
      <c r="H169" s="2">
        <v>46164.554085648146</v>
      </c>
      <c r="L169">
        <v>112073338</v>
      </c>
      <c r="M169" t="s">
        <v>562</v>
      </c>
      <c r="N169" t="s">
        <v>827</v>
      </c>
      <c r="O169" t="s">
        <v>671</v>
      </c>
      <c r="P169" t="s">
        <v>666</v>
      </c>
      <c r="Q169">
        <v>1</v>
      </c>
      <c r="R169" t="s">
        <v>670</v>
      </c>
      <c r="S169" t="s">
        <v>671</v>
      </c>
    </row>
    <row r="170" spans="1:19" x14ac:dyDescent="0.25">
      <c r="A170" t="s">
        <v>192</v>
      </c>
      <c r="B170" t="s">
        <v>3</v>
      </c>
      <c r="C170" t="s">
        <v>654</v>
      </c>
      <c r="D170" s="2" t="s">
        <v>650</v>
      </c>
      <c r="E170" t="str">
        <f>_xlfn.XLOOKUP(B170,Laitetyypit!A:A,Laitetyypit!B:B,"ei")</f>
        <v>Thingsee PRESENCE</v>
      </c>
      <c r="F170" t="s">
        <v>659</v>
      </c>
      <c r="G170" s="3">
        <v>0.87</v>
      </c>
      <c r="H170" s="2">
        <v>46164.540555555555</v>
      </c>
      <c r="L170">
        <v>112073339</v>
      </c>
      <c r="M170" t="s">
        <v>563</v>
      </c>
      <c r="N170" t="s">
        <v>827</v>
      </c>
      <c r="O170" t="s">
        <v>671</v>
      </c>
      <c r="P170" t="s">
        <v>666</v>
      </c>
      <c r="Q170">
        <v>1</v>
      </c>
      <c r="R170" t="s">
        <v>670</v>
      </c>
      <c r="S170" t="s">
        <v>671</v>
      </c>
    </row>
    <row r="171" spans="1:19" x14ac:dyDescent="0.25">
      <c r="A171" t="s">
        <v>23</v>
      </c>
      <c r="B171" t="s">
        <v>3</v>
      </c>
      <c r="C171" t="s">
        <v>654</v>
      </c>
      <c r="D171" s="2" t="s">
        <v>650</v>
      </c>
      <c r="E171" t="str">
        <f>_xlfn.XLOOKUP(B171,Laitetyypit!A:A,Laitetyypit!B:B,"ei")</f>
        <v>Thingsee PRESENCE</v>
      </c>
      <c r="F171" t="s">
        <v>659</v>
      </c>
      <c r="G171" s="3">
        <v>0.78</v>
      </c>
      <c r="H171" s="2">
        <v>46164.537534722222</v>
      </c>
      <c r="L171">
        <v>112073340</v>
      </c>
      <c r="M171" t="s">
        <v>564</v>
      </c>
      <c r="N171" t="s">
        <v>827</v>
      </c>
      <c r="O171" t="s">
        <v>671</v>
      </c>
      <c r="P171" t="s">
        <v>666</v>
      </c>
      <c r="Q171">
        <v>1</v>
      </c>
      <c r="R171" t="s">
        <v>670</v>
      </c>
      <c r="S171" t="s">
        <v>671</v>
      </c>
    </row>
    <row r="172" spans="1:19" x14ac:dyDescent="0.25">
      <c r="A172" t="s">
        <v>174</v>
      </c>
      <c r="B172" t="s">
        <v>3</v>
      </c>
      <c r="C172" t="s">
        <v>654</v>
      </c>
      <c r="D172" s="2" t="s">
        <v>650</v>
      </c>
      <c r="E172" t="str">
        <f>_xlfn.XLOOKUP(B172,Laitetyypit!A:A,Laitetyypit!B:B,"ei")</f>
        <v>Thingsee PRESENCE</v>
      </c>
      <c r="F172" t="s">
        <v>659</v>
      </c>
      <c r="G172" s="3">
        <v>0.87</v>
      </c>
      <c r="H172" s="2">
        <v>46164.555428240739</v>
      </c>
      <c r="L172">
        <v>112073341</v>
      </c>
      <c r="M172" t="s">
        <v>565</v>
      </c>
      <c r="N172" t="s">
        <v>827</v>
      </c>
      <c r="O172" t="s">
        <v>671</v>
      </c>
      <c r="P172" t="s">
        <v>666</v>
      </c>
      <c r="Q172">
        <v>1</v>
      </c>
      <c r="R172" t="s">
        <v>670</v>
      </c>
      <c r="S172" t="s">
        <v>671</v>
      </c>
    </row>
    <row r="173" spans="1:19" x14ac:dyDescent="0.25">
      <c r="A173" t="s">
        <v>18</v>
      </c>
      <c r="B173" t="s">
        <v>3</v>
      </c>
      <c r="C173" t="s">
        <v>654</v>
      </c>
      <c r="D173" s="2" t="s">
        <v>650</v>
      </c>
      <c r="E173" t="str">
        <f>_xlfn.XLOOKUP(B173,Laitetyypit!A:A,Laitetyypit!B:B,"ei")</f>
        <v>Thingsee PRESENCE</v>
      </c>
      <c r="F173" t="s">
        <v>659</v>
      </c>
      <c r="G173" s="3">
        <v>0.86</v>
      </c>
      <c r="H173" s="2">
        <v>46164.545601851853</v>
      </c>
      <c r="L173">
        <v>112073342</v>
      </c>
      <c r="M173" t="s">
        <v>566</v>
      </c>
      <c r="N173" t="s">
        <v>827</v>
      </c>
      <c r="O173" t="s">
        <v>671</v>
      </c>
      <c r="P173" t="s">
        <v>666</v>
      </c>
      <c r="Q173">
        <v>1</v>
      </c>
      <c r="R173" t="s">
        <v>670</v>
      </c>
      <c r="S173" t="s">
        <v>671</v>
      </c>
    </row>
    <row r="174" spans="1:19" x14ac:dyDescent="0.25">
      <c r="A174" t="s">
        <v>21</v>
      </c>
      <c r="B174" t="s">
        <v>3</v>
      </c>
      <c r="C174" t="s">
        <v>654</v>
      </c>
      <c r="D174" s="2" t="s">
        <v>650</v>
      </c>
      <c r="E174" t="str">
        <f>_xlfn.XLOOKUP(B174,Laitetyypit!A:A,Laitetyypit!B:B,"ei")</f>
        <v>Thingsee PRESENCE</v>
      </c>
      <c r="F174" t="s">
        <v>659</v>
      </c>
      <c r="G174" s="3">
        <v>0.87</v>
      </c>
      <c r="H174" s="2">
        <v>46164.55574074074</v>
      </c>
      <c r="L174">
        <v>112073343</v>
      </c>
      <c r="M174" t="s">
        <v>567</v>
      </c>
      <c r="N174" t="s">
        <v>827</v>
      </c>
      <c r="O174" t="s">
        <v>671</v>
      </c>
      <c r="P174" t="s">
        <v>666</v>
      </c>
      <c r="Q174">
        <v>1</v>
      </c>
      <c r="R174" t="s">
        <v>670</v>
      </c>
      <c r="S174" t="s">
        <v>671</v>
      </c>
    </row>
    <row r="175" spans="1:19" x14ac:dyDescent="0.25">
      <c r="A175" t="s">
        <v>36</v>
      </c>
      <c r="B175" t="s">
        <v>3</v>
      </c>
      <c r="C175" t="s">
        <v>654</v>
      </c>
      <c r="D175" s="2" t="s">
        <v>650</v>
      </c>
      <c r="E175" t="str">
        <f>_xlfn.XLOOKUP(B175,Laitetyypit!A:A,Laitetyypit!B:B,"ei")</f>
        <v>Thingsee PRESENCE</v>
      </c>
      <c r="F175" t="s">
        <v>659</v>
      </c>
      <c r="G175" s="3">
        <v>0.82</v>
      </c>
      <c r="H175" s="2">
        <v>46164.546539351853</v>
      </c>
      <c r="L175">
        <v>112073344</v>
      </c>
      <c r="M175" t="s">
        <v>568</v>
      </c>
      <c r="N175" t="s">
        <v>827</v>
      </c>
      <c r="O175" t="s">
        <v>671</v>
      </c>
      <c r="P175" t="s">
        <v>666</v>
      </c>
      <c r="Q175">
        <v>1</v>
      </c>
      <c r="R175" t="s">
        <v>670</v>
      </c>
      <c r="S175" t="s">
        <v>671</v>
      </c>
    </row>
    <row r="176" spans="1:19" x14ac:dyDescent="0.25">
      <c r="A176" t="s">
        <v>45</v>
      </c>
      <c r="B176" t="s">
        <v>3</v>
      </c>
      <c r="C176" t="s">
        <v>654</v>
      </c>
      <c r="D176" s="2" t="s">
        <v>650</v>
      </c>
      <c r="E176" t="str">
        <f>_xlfn.XLOOKUP(B176,Laitetyypit!A:A,Laitetyypit!B:B,"ei")</f>
        <v>Thingsee PRESENCE</v>
      </c>
      <c r="F176" t="s">
        <v>659</v>
      </c>
      <c r="G176" s="3">
        <v>0.84</v>
      </c>
      <c r="H176" s="2">
        <v>46164.545451388891</v>
      </c>
      <c r="L176">
        <v>112073345</v>
      </c>
      <c r="M176" t="s">
        <v>569</v>
      </c>
      <c r="N176" t="s">
        <v>827</v>
      </c>
      <c r="O176" t="s">
        <v>671</v>
      </c>
      <c r="P176" t="s">
        <v>666</v>
      </c>
      <c r="Q176">
        <v>1</v>
      </c>
      <c r="R176" t="s">
        <v>670</v>
      </c>
      <c r="S176" t="s">
        <v>671</v>
      </c>
    </row>
    <row r="177" spans="1:19" x14ac:dyDescent="0.25">
      <c r="A177" t="s">
        <v>66</v>
      </c>
      <c r="B177" t="s">
        <v>3</v>
      </c>
      <c r="C177" t="s">
        <v>654</v>
      </c>
      <c r="D177" s="2" t="s">
        <v>650</v>
      </c>
      <c r="E177" t="str">
        <f>_xlfn.XLOOKUP(B177,Laitetyypit!A:A,Laitetyypit!B:B,"ei")</f>
        <v>Thingsee PRESENCE</v>
      </c>
      <c r="F177" t="s">
        <v>659</v>
      </c>
      <c r="G177" s="3">
        <v>0.87</v>
      </c>
      <c r="H177" s="2">
        <v>46164.543067129627</v>
      </c>
      <c r="L177">
        <v>112073346</v>
      </c>
      <c r="M177" t="s">
        <v>570</v>
      </c>
      <c r="N177" t="s">
        <v>827</v>
      </c>
      <c r="O177" t="s">
        <v>671</v>
      </c>
      <c r="P177" t="s">
        <v>666</v>
      </c>
      <c r="Q177">
        <v>1</v>
      </c>
      <c r="R177" t="s">
        <v>670</v>
      </c>
      <c r="S177" t="s">
        <v>671</v>
      </c>
    </row>
    <row r="178" spans="1:19" x14ac:dyDescent="0.25">
      <c r="A178" t="s">
        <v>102</v>
      </c>
      <c r="B178" t="s">
        <v>3</v>
      </c>
      <c r="C178" t="s">
        <v>654</v>
      </c>
      <c r="D178" s="2" t="s">
        <v>650</v>
      </c>
      <c r="E178" t="str">
        <f>_xlfn.XLOOKUP(B178,Laitetyypit!A:A,Laitetyypit!B:B,"ei")</f>
        <v>Thingsee PRESENCE</v>
      </c>
      <c r="F178" t="s">
        <v>659</v>
      </c>
      <c r="G178" s="3">
        <v>0.85</v>
      </c>
      <c r="H178" s="2">
        <v>46164.550486111111</v>
      </c>
      <c r="L178">
        <v>112073347</v>
      </c>
      <c r="M178" t="s">
        <v>571</v>
      </c>
      <c r="N178" t="s">
        <v>827</v>
      </c>
      <c r="O178" t="s">
        <v>671</v>
      </c>
      <c r="P178" t="s">
        <v>666</v>
      </c>
      <c r="Q178">
        <v>1</v>
      </c>
      <c r="R178" t="s">
        <v>670</v>
      </c>
      <c r="S178" t="s">
        <v>671</v>
      </c>
    </row>
    <row r="179" spans="1:19" x14ac:dyDescent="0.25">
      <c r="A179" t="s">
        <v>112</v>
      </c>
      <c r="B179" t="s">
        <v>3</v>
      </c>
      <c r="C179" t="s">
        <v>654</v>
      </c>
      <c r="D179" s="2" t="s">
        <v>650</v>
      </c>
      <c r="E179" t="str">
        <f>_xlfn.XLOOKUP(B179,Laitetyypit!A:A,Laitetyypit!B:B,"ei")</f>
        <v>Thingsee PRESENCE</v>
      </c>
      <c r="F179" t="s">
        <v>659</v>
      </c>
      <c r="G179" s="3">
        <v>0.87</v>
      </c>
      <c r="H179" s="2">
        <v>46164.54483796296</v>
      </c>
      <c r="L179">
        <v>112073348</v>
      </c>
      <c r="M179" t="s">
        <v>572</v>
      </c>
      <c r="N179" t="s">
        <v>827</v>
      </c>
      <c r="O179" t="s">
        <v>671</v>
      </c>
      <c r="P179" t="s">
        <v>666</v>
      </c>
      <c r="Q179">
        <v>1</v>
      </c>
      <c r="R179" t="s">
        <v>670</v>
      </c>
      <c r="S179" t="s">
        <v>671</v>
      </c>
    </row>
    <row r="180" spans="1:19" x14ac:dyDescent="0.25">
      <c r="A180" t="s">
        <v>190</v>
      </c>
      <c r="B180" t="s">
        <v>3</v>
      </c>
      <c r="C180" t="s">
        <v>654</v>
      </c>
      <c r="D180" s="2" t="s">
        <v>650</v>
      </c>
      <c r="E180" t="str">
        <f>_xlfn.XLOOKUP(B180,Laitetyypit!A:A,Laitetyypit!B:B,"ei")</f>
        <v>Thingsee PRESENCE</v>
      </c>
      <c r="F180" t="s">
        <v>659</v>
      </c>
      <c r="G180" s="3">
        <v>0.85</v>
      </c>
      <c r="H180" s="2">
        <v>46164.545775462961</v>
      </c>
      <c r="L180">
        <v>112073349</v>
      </c>
      <c r="M180" t="s">
        <v>573</v>
      </c>
      <c r="N180" t="s">
        <v>827</v>
      </c>
      <c r="O180" t="s">
        <v>671</v>
      </c>
      <c r="P180" t="s">
        <v>666</v>
      </c>
      <c r="Q180">
        <v>1</v>
      </c>
      <c r="R180" t="s">
        <v>670</v>
      </c>
      <c r="S180" t="s">
        <v>671</v>
      </c>
    </row>
    <row r="181" spans="1:19" x14ac:dyDescent="0.25">
      <c r="A181" t="s">
        <v>17</v>
      </c>
      <c r="B181" t="s">
        <v>3</v>
      </c>
      <c r="C181" t="s">
        <v>654</v>
      </c>
      <c r="D181" s="2" t="s">
        <v>650</v>
      </c>
      <c r="E181" t="str">
        <f>_xlfn.XLOOKUP(B181,Laitetyypit!A:A,Laitetyypit!B:B,"ei")</f>
        <v>Thingsee PRESENCE</v>
      </c>
      <c r="F181" t="s">
        <v>659</v>
      </c>
      <c r="G181" s="3">
        <v>0.84</v>
      </c>
      <c r="H181" s="2">
        <v>46164.539918981478</v>
      </c>
      <c r="L181">
        <v>112073350</v>
      </c>
      <c r="M181" t="s">
        <v>574</v>
      </c>
      <c r="N181" t="s">
        <v>827</v>
      </c>
      <c r="O181" t="s">
        <v>671</v>
      </c>
      <c r="P181" t="s">
        <v>666</v>
      </c>
      <c r="Q181">
        <v>1</v>
      </c>
      <c r="R181" t="s">
        <v>670</v>
      </c>
      <c r="S181" t="s">
        <v>671</v>
      </c>
    </row>
    <row r="182" spans="1:19" x14ac:dyDescent="0.25">
      <c r="A182" t="s">
        <v>171</v>
      </c>
      <c r="B182" t="s">
        <v>3</v>
      </c>
      <c r="C182" t="s">
        <v>654</v>
      </c>
      <c r="D182" s="2" t="s">
        <v>650</v>
      </c>
      <c r="E182" t="str">
        <f>_xlfn.XLOOKUP(B182,Laitetyypit!A:A,Laitetyypit!B:B,"ei")</f>
        <v>Thingsee PRESENCE</v>
      </c>
      <c r="F182" t="s">
        <v>659</v>
      </c>
      <c r="G182" s="3">
        <v>0.84</v>
      </c>
      <c r="H182" s="2">
        <v>46164.552743055552</v>
      </c>
      <c r="L182">
        <v>112073351</v>
      </c>
      <c r="M182" t="s">
        <v>575</v>
      </c>
      <c r="N182" t="s">
        <v>827</v>
      </c>
      <c r="O182" t="s">
        <v>671</v>
      </c>
      <c r="P182" t="s">
        <v>666</v>
      </c>
      <c r="Q182">
        <v>1</v>
      </c>
      <c r="R182" t="s">
        <v>670</v>
      </c>
      <c r="S182" t="s">
        <v>671</v>
      </c>
    </row>
    <row r="183" spans="1:19" x14ac:dyDescent="0.25">
      <c r="A183" t="s">
        <v>37</v>
      </c>
      <c r="B183" t="s">
        <v>3</v>
      </c>
      <c r="C183" t="s">
        <v>654</v>
      </c>
      <c r="D183" s="2" t="s">
        <v>650</v>
      </c>
      <c r="E183" t="str">
        <f>_xlfn.XLOOKUP(B183,Laitetyypit!A:A,Laitetyypit!B:B,"ei")</f>
        <v>Thingsee PRESENCE</v>
      </c>
      <c r="F183" t="s">
        <v>659</v>
      </c>
      <c r="G183" s="3">
        <v>0.88</v>
      </c>
      <c r="H183" s="2">
        <v>46164.549224537041</v>
      </c>
      <c r="L183">
        <v>112073352</v>
      </c>
      <c r="M183" t="s">
        <v>576</v>
      </c>
      <c r="N183" t="s">
        <v>827</v>
      </c>
      <c r="O183" t="s">
        <v>671</v>
      </c>
      <c r="P183" t="s">
        <v>666</v>
      </c>
      <c r="Q183">
        <v>1</v>
      </c>
      <c r="R183" t="s">
        <v>670</v>
      </c>
      <c r="S183" t="s">
        <v>671</v>
      </c>
    </row>
    <row r="184" spans="1:19" x14ac:dyDescent="0.25">
      <c r="A184" t="s">
        <v>27</v>
      </c>
      <c r="B184" t="s">
        <v>3</v>
      </c>
      <c r="C184" t="s">
        <v>654</v>
      </c>
      <c r="D184" s="2" t="s">
        <v>650</v>
      </c>
      <c r="E184" t="str">
        <f>_xlfn.XLOOKUP(B184,Laitetyypit!A:A,Laitetyypit!B:B,"ei")</f>
        <v>Thingsee PRESENCE</v>
      </c>
      <c r="F184" t="s">
        <v>659</v>
      </c>
      <c r="G184" s="3">
        <v>0.87</v>
      </c>
      <c r="H184" s="2">
        <v>46164.544236111113</v>
      </c>
      <c r="L184">
        <v>112073353</v>
      </c>
      <c r="M184" t="s">
        <v>577</v>
      </c>
      <c r="N184" t="s">
        <v>827</v>
      </c>
      <c r="O184" t="s">
        <v>671</v>
      </c>
      <c r="P184" t="s">
        <v>666</v>
      </c>
      <c r="Q184">
        <v>1</v>
      </c>
      <c r="R184" t="s">
        <v>670</v>
      </c>
      <c r="S184" t="s">
        <v>671</v>
      </c>
    </row>
    <row r="185" spans="1:19" x14ac:dyDescent="0.25">
      <c r="A185" t="s">
        <v>20</v>
      </c>
      <c r="B185" t="s">
        <v>3</v>
      </c>
      <c r="C185" t="s">
        <v>654</v>
      </c>
      <c r="D185" s="2" t="s">
        <v>650</v>
      </c>
      <c r="E185" t="str">
        <f>_xlfn.XLOOKUP(B185,Laitetyypit!A:A,Laitetyypit!B:B,"ei")</f>
        <v>Thingsee PRESENCE</v>
      </c>
      <c r="F185" t="s">
        <v>659</v>
      </c>
      <c r="G185" s="3">
        <v>0.84</v>
      </c>
      <c r="H185" s="2">
        <v>46164.537418981483</v>
      </c>
      <c r="L185">
        <v>112073354</v>
      </c>
      <c r="M185" t="s">
        <v>578</v>
      </c>
      <c r="N185" t="s">
        <v>827</v>
      </c>
      <c r="O185" t="s">
        <v>671</v>
      </c>
      <c r="P185" t="s">
        <v>666</v>
      </c>
      <c r="Q185">
        <v>1</v>
      </c>
      <c r="R185" t="s">
        <v>670</v>
      </c>
      <c r="S185" t="s">
        <v>671</v>
      </c>
    </row>
    <row r="186" spans="1:19" x14ac:dyDescent="0.25">
      <c r="A186" t="s">
        <v>65</v>
      </c>
      <c r="B186" t="s">
        <v>3</v>
      </c>
      <c r="C186" t="s">
        <v>654</v>
      </c>
      <c r="D186" s="2" t="s">
        <v>650</v>
      </c>
      <c r="E186" t="str">
        <f>_xlfn.XLOOKUP(B186,Laitetyypit!A:A,Laitetyypit!B:B,"ei")</f>
        <v>Thingsee PRESENCE</v>
      </c>
      <c r="F186" t="s">
        <v>659</v>
      </c>
      <c r="G186" s="3">
        <v>0.85</v>
      </c>
      <c r="H186" s="2">
        <v>46164.53707175926</v>
      </c>
      <c r="L186">
        <v>112073355</v>
      </c>
      <c r="M186" t="s">
        <v>579</v>
      </c>
      <c r="N186" t="s">
        <v>827</v>
      </c>
      <c r="O186" t="s">
        <v>671</v>
      </c>
      <c r="P186" t="s">
        <v>666</v>
      </c>
      <c r="Q186">
        <v>1</v>
      </c>
      <c r="R186" t="s">
        <v>670</v>
      </c>
      <c r="S186" t="s">
        <v>671</v>
      </c>
    </row>
    <row r="187" spans="1:19" x14ac:dyDescent="0.25">
      <c r="A187" t="s">
        <v>40</v>
      </c>
      <c r="B187" t="s">
        <v>3</v>
      </c>
      <c r="C187" t="s">
        <v>654</v>
      </c>
      <c r="D187" s="2" t="s">
        <v>650</v>
      </c>
      <c r="E187" t="str">
        <f>_xlfn.XLOOKUP(B187,Laitetyypit!A:A,Laitetyypit!B:B,"ei")</f>
        <v>Thingsee PRESENCE</v>
      </c>
      <c r="F187" t="s">
        <v>659</v>
      </c>
      <c r="G187" s="3">
        <v>0.89</v>
      </c>
      <c r="H187" s="2">
        <v>46164.540625000001</v>
      </c>
      <c r="L187">
        <v>112073356</v>
      </c>
      <c r="M187" t="s">
        <v>580</v>
      </c>
      <c r="N187" t="s">
        <v>827</v>
      </c>
      <c r="O187" t="s">
        <v>671</v>
      </c>
      <c r="P187" t="s">
        <v>666</v>
      </c>
      <c r="Q187">
        <v>1</v>
      </c>
      <c r="R187" t="s">
        <v>670</v>
      </c>
      <c r="S187" t="s">
        <v>671</v>
      </c>
    </row>
    <row r="188" spans="1:19" x14ac:dyDescent="0.25">
      <c r="A188" t="s">
        <v>16</v>
      </c>
      <c r="B188" t="s">
        <v>3</v>
      </c>
      <c r="C188" t="s">
        <v>654</v>
      </c>
      <c r="D188" s="2" t="s">
        <v>650</v>
      </c>
      <c r="E188" t="str">
        <f>_xlfn.XLOOKUP(B188,Laitetyypit!A:A,Laitetyypit!B:B,"ei")</f>
        <v>Thingsee PRESENCE</v>
      </c>
      <c r="F188" t="s">
        <v>659</v>
      </c>
      <c r="G188" s="3">
        <v>0.87</v>
      </c>
      <c r="H188" s="2">
        <v>46164.546030092592</v>
      </c>
      <c r="L188">
        <v>112073357</v>
      </c>
      <c r="M188" t="s">
        <v>581</v>
      </c>
      <c r="N188" t="s">
        <v>827</v>
      </c>
      <c r="O188" t="s">
        <v>671</v>
      </c>
      <c r="P188" t="s">
        <v>666</v>
      </c>
      <c r="Q188">
        <v>1</v>
      </c>
      <c r="R188" t="s">
        <v>670</v>
      </c>
      <c r="S188" t="s">
        <v>671</v>
      </c>
    </row>
    <row r="189" spans="1:19" x14ac:dyDescent="0.25">
      <c r="A189" t="s">
        <v>64</v>
      </c>
      <c r="B189" t="s">
        <v>3</v>
      </c>
      <c r="C189" t="s">
        <v>654</v>
      </c>
      <c r="D189" s="2" t="s">
        <v>650</v>
      </c>
      <c r="E189" t="str">
        <f>_xlfn.XLOOKUP(B189,Laitetyypit!A:A,Laitetyypit!B:B,"ei")</f>
        <v>Thingsee PRESENCE</v>
      </c>
      <c r="F189" t="s">
        <v>659</v>
      </c>
      <c r="G189" s="3">
        <v>0.89</v>
      </c>
      <c r="H189" s="2">
        <v>46164.54482638889</v>
      </c>
      <c r="L189">
        <v>112073358</v>
      </c>
      <c r="M189" t="s">
        <v>582</v>
      </c>
      <c r="N189" t="s">
        <v>827</v>
      </c>
      <c r="O189" t="s">
        <v>671</v>
      </c>
      <c r="P189" t="s">
        <v>666</v>
      </c>
      <c r="Q189">
        <v>1</v>
      </c>
      <c r="R189" t="s">
        <v>670</v>
      </c>
      <c r="S189" t="s">
        <v>671</v>
      </c>
    </row>
    <row r="190" spans="1:19" x14ac:dyDescent="0.25">
      <c r="A190" t="s">
        <v>22</v>
      </c>
      <c r="B190" t="s">
        <v>3</v>
      </c>
      <c r="C190" t="s">
        <v>654</v>
      </c>
      <c r="D190" s="2" t="s">
        <v>650</v>
      </c>
      <c r="E190" t="str">
        <f>_xlfn.XLOOKUP(B190,Laitetyypit!A:A,Laitetyypit!B:B,"ei")</f>
        <v>Thingsee PRESENCE</v>
      </c>
      <c r="F190" t="s">
        <v>659</v>
      </c>
      <c r="G190" s="3">
        <v>0.89</v>
      </c>
      <c r="H190" s="2">
        <v>46164.555636574078</v>
      </c>
      <c r="L190">
        <v>112073359</v>
      </c>
      <c r="M190" t="s">
        <v>583</v>
      </c>
      <c r="N190" t="s">
        <v>827</v>
      </c>
      <c r="O190" t="s">
        <v>671</v>
      </c>
      <c r="P190" t="s">
        <v>666</v>
      </c>
      <c r="Q190">
        <v>1</v>
      </c>
      <c r="R190" t="s">
        <v>670</v>
      </c>
      <c r="S190" t="s">
        <v>671</v>
      </c>
    </row>
    <row r="191" spans="1:19" x14ac:dyDescent="0.25">
      <c r="A191" t="s">
        <v>24</v>
      </c>
      <c r="B191" t="s">
        <v>3</v>
      </c>
      <c r="C191" t="s">
        <v>654</v>
      </c>
      <c r="D191" s="2" t="s">
        <v>650</v>
      </c>
      <c r="E191" t="str">
        <f>_xlfn.XLOOKUP(B191,Laitetyypit!A:A,Laitetyypit!B:B,"ei")</f>
        <v>Thingsee PRESENCE</v>
      </c>
      <c r="F191" t="s">
        <v>659</v>
      </c>
      <c r="G191" s="3">
        <v>0.86</v>
      </c>
      <c r="H191" s="2">
        <v>46164.536527777775</v>
      </c>
      <c r="L191">
        <v>112073360</v>
      </c>
      <c r="M191" t="s">
        <v>584</v>
      </c>
      <c r="N191" t="s">
        <v>827</v>
      </c>
      <c r="O191" t="s">
        <v>671</v>
      </c>
      <c r="P191" t="s">
        <v>666</v>
      </c>
      <c r="Q191">
        <v>1</v>
      </c>
      <c r="R191" t="s">
        <v>670</v>
      </c>
      <c r="S191" t="s">
        <v>671</v>
      </c>
    </row>
    <row r="192" spans="1:19" x14ac:dyDescent="0.25">
      <c r="A192" t="s">
        <v>67</v>
      </c>
      <c r="B192" t="s">
        <v>3</v>
      </c>
      <c r="C192" t="s">
        <v>654</v>
      </c>
      <c r="D192" s="2" t="s">
        <v>650</v>
      </c>
      <c r="E192" t="str">
        <f>_xlfn.XLOOKUP(B192,Laitetyypit!A:A,Laitetyypit!B:B,"ei")</f>
        <v>Thingsee PRESENCE</v>
      </c>
      <c r="F192" t="s">
        <v>659</v>
      </c>
      <c r="G192" s="3">
        <v>0.88</v>
      </c>
      <c r="H192" s="2">
        <v>46164.549814814818</v>
      </c>
      <c r="L192">
        <v>112073361</v>
      </c>
      <c r="M192" t="s">
        <v>585</v>
      </c>
      <c r="N192" t="s">
        <v>827</v>
      </c>
      <c r="O192" t="s">
        <v>671</v>
      </c>
      <c r="P192" t="s">
        <v>666</v>
      </c>
      <c r="Q192">
        <v>1</v>
      </c>
      <c r="R192" t="s">
        <v>670</v>
      </c>
      <c r="S192" t="s">
        <v>671</v>
      </c>
    </row>
    <row r="193" spans="1:19" x14ac:dyDescent="0.25">
      <c r="A193" t="s">
        <v>101</v>
      </c>
      <c r="B193" t="s">
        <v>3</v>
      </c>
      <c r="C193" t="s">
        <v>654</v>
      </c>
      <c r="D193" s="2" t="s">
        <v>650</v>
      </c>
      <c r="E193" t="str">
        <f>_xlfn.XLOOKUP(B193,Laitetyypit!A:A,Laitetyypit!B:B,"ei")</f>
        <v>Thingsee PRESENCE</v>
      </c>
      <c r="F193" t="s">
        <v>659</v>
      </c>
      <c r="G193" s="3">
        <v>0.88</v>
      </c>
      <c r="H193" s="2">
        <v>46164.554097222222</v>
      </c>
      <c r="L193">
        <v>112073362</v>
      </c>
      <c r="M193" t="s">
        <v>586</v>
      </c>
      <c r="N193" t="s">
        <v>827</v>
      </c>
      <c r="O193" t="s">
        <v>671</v>
      </c>
      <c r="P193" t="s">
        <v>666</v>
      </c>
      <c r="Q193">
        <v>1</v>
      </c>
      <c r="R193" t="s">
        <v>670</v>
      </c>
      <c r="S193" t="s">
        <v>671</v>
      </c>
    </row>
    <row r="194" spans="1:19" x14ac:dyDescent="0.25">
      <c r="A194" t="s">
        <v>62</v>
      </c>
      <c r="B194" t="s">
        <v>3</v>
      </c>
      <c r="C194" t="s">
        <v>654</v>
      </c>
      <c r="D194" s="2" t="s">
        <v>650</v>
      </c>
      <c r="E194" t="str">
        <f>_xlfn.XLOOKUP(B194,Laitetyypit!A:A,Laitetyypit!B:B,"ei")</f>
        <v>Thingsee PRESENCE</v>
      </c>
      <c r="F194" t="s">
        <v>659</v>
      </c>
      <c r="G194" s="3">
        <v>0.86</v>
      </c>
      <c r="H194" s="2">
        <v>46164.551238425927</v>
      </c>
      <c r="L194">
        <v>112073363</v>
      </c>
      <c r="M194" t="s">
        <v>587</v>
      </c>
      <c r="N194" t="s">
        <v>827</v>
      </c>
      <c r="O194" t="s">
        <v>671</v>
      </c>
      <c r="P194" t="s">
        <v>666</v>
      </c>
      <c r="Q194">
        <v>1</v>
      </c>
      <c r="R194" t="s">
        <v>670</v>
      </c>
      <c r="S194" t="s">
        <v>671</v>
      </c>
    </row>
    <row r="195" spans="1:19" x14ac:dyDescent="0.25">
      <c r="A195" t="s">
        <v>117</v>
      </c>
      <c r="B195" t="s">
        <v>3</v>
      </c>
      <c r="C195" t="s">
        <v>654</v>
      </c>
      <c r="D195" s="2" t="s">
        <v>650</v>
      </c>
      <c r="E195" t="str">
        <f>_xlfn.XLOOKUP(B195,Laitetyypit!A:A,Laitetyypit!B:B,"ei")</f>
        <v>Thingsee PRESENCE</v>
      </c>
      <c r="F195" t="s">
        <v>659</v>
      </c>
      <c r="G195" s="3">
        <v>0.88</v>
      </c>
      <c r="H195" s="2">
        <v>46164.543194444443</v>
      </c>
      <c r="L195">
        <v>112073364</v>
      </c>
      <c r="M195" t="s">
        <v>588</v>
      </c>
      <c r="N195" t="s">
        <v>827</v>
      </c>
      <c r="O195" t="s">
        <v>671</v>
      </c>
      <c r="P195" t="s">
        <v>666</v>
      </c>
      <c r="Q195">
        <v>1</v>
      </c>
      <c r="R195" t="s">
        <v>670</v>
      </c>
      <c r="S195" t="s">
        <v>671</v>
      </c>
    </row>
    <row r="196" spans="1:19" x14ac:dyDescent="0.25">
      <c r="A196" t="s">
        <v>19</v>
      </c>
      <c r="B196" t="s">
        <v>3</v>
      </c>
      <c r="C196" t="s">
        <v>654</v>
      </c>
      <c r="D196" s="2" t="s">
        <v>650</v>
      </c>
      <c r="E196" t="str">
        <f>_xlfn.XLOOKUP(B196,Laitetyypit!A:A,Laitetyypit!B:B,"ei")</f>
        <v>Thingsee PRESENCE</v>
      </c>
      <c r="F196" t="s">
        <v>659</v>
      </c>
      <c r="G196" s="3">
        <v>0.88</v>
      </c>
      <c r="H196" s="2">
        <v>46164.53802083333</v>
      </c>
      <c r="L196">
        <v>112073365</v>
      </c>
      <c r="M196" t="s">
        <v>589</v>
      </c>
      <c r="N196" t="s">
        <v>827</v>
      </c>
      <c r="O196" t="s">
        <v>671</v>
      </c>
      <c r="P196" t="s">
        <v>666</v>
      </c>
      <c r="Q196">
        <v>1</v>
      </c>
      <c r="R196" t="s">
        <v>670</v>
      </c>
      <c r="S196" t="s">
        <v>671</v>
      </c>
    </row>
    <row r="197" spans="1:19" x14ac:dyDescent="0.25">
      <c r="A197" t="s">
        <v>61</v>
      </c>
      <c r="B197" t="s">
        <v>3</v>
      </c>
      <c r="C197" t="s">
        <v>654</v>
      </c>
      <c r="D197" s="2" t="s">
        <v>650</v>
      </c>
      <c r="E197" t="str">
        <f>_xlfn.XLOOKUP(B197,Laitetyypit!A:A,Laitetyypit!B:B,"ei")</f>
        <v>Thingsee PRESENCE</v>
      </c>
      <c r="F197" t="s">
        <v>659</v>
      </c>
      <c r="G197" s="3">
        <v>0.87</v>
      </c>
      <c r="H197" s="2">
        <v>46164.536377314813</v>
      </c>
      <c r="L197">
        <v>112073366</v>
      </c>
      <c r="M197" t="s">
        <v>590</v>
      </c>
      <c r="N197" t="s">
        <v>827</v>
      </c>
      <c r="O197" t="s">
        <v>671</v>
      </c>
      <c r="P197" t="s">
        <v>666</v>
      </c>
      <c r="Q197">
        <v>1</v>
      </c>
      <c r="R197" t="s">
        <v>670</v>
      </c>
      <c r="S197" t="s">
        <v>671</v>
      </c>
    </row>
    <row r="198" spans="1:19" x14ac:dyDescent="0.25">
      <c r="A198" t="s">
        <v>63</v>
      </c>
      <c r="B198" t="s">
        <v>3</v>
      </c>
      <c r="C198" t="s">
        <v>654</v>
      </c>
      <c r="D198" s="2" t="s">
        <v>650</v>
      </c>
      <c r="E198" t="str">
        <f>_xlfn.XLOOKUP(B198,Laitetyypit!A:A,Laitetyypit!B:B,"ei")</f>
        <v>Thingsee PRESENCE</v>
      </c>
      <c r="F198" t="s">
        <v>659</v>
      </c>
      <c r="G198" s="3">
        <v>0.9</v>
      </c>
      <c r="H198" s="2">
        <v>46164.545162037037</v>
      </c>
      <c r="L198">
        <v>112073367</v>
      </c>
      <c r="M198" t="s">
        <v>591</v>
      </c>
      <c r="N198" t="s">
        <v>827</v>
      </c>
      <c r="O198" t="s">
        <v>671</v>
      </c>
      <c r="P198" t="s">
        <v>666</v>
      </c>
      <c r="Q198">
        <v>1</v>
      </c>
      <c r="R198" t="s">
        <v>670</v>
      </c>
      <c r="S198" t="s">
        <v>671</v>
      </c>
    </row>
    <row r="199" spans="1:19" x14ac:dyDescent="0.25">
      <c r="A199" t="s">
        <v>90</v>
      </c>
      <c r="B199" t="s">
        <v>3</v>
      </c>
      <c r="C199" t="s">
        <v>654</v>
      </c>
      <c r="D199" s="2" t="s">
        <v>650</v>
      </c>
      <c r="E199" t="str">
        <f>_xlfn.XLOOKUP(B199,Laitetyypit!A:A,Laitetyypit!B:B,"ei")</f>
        <v>Thingsee PRESENCE</v>
      </c>
      <c r="F199" t="s">
        <v>659</v>
      </c>
      <c r="G199" s="3">
        <v>0.02</v>
      </c>
      <c r="H199" s="2">
        <v>46066.896307870367</v>
      </c>
      <c r="L199">
        <v>112073959</v>
      </c>
      <c r="M199" t="s">
        <v>592</v>
      </c>
      <c r="N199" t="s">
        <v>827</v>
      </c>
      <c r="O199" t="s">
        <v>671</v>
      </c>
      <c r="P199" t="s">
        <v>665</v>
      </c>
      <c r="Q199">
        <v>2</v>
      </c>
      <c r="R199" t="s">
        <v>670</v>
      </c>
      <c r="S199" t="s">
        <v>671</v>
      </c>
    </row>
    <row r="200" spans="1:19" x14ac:dyDescent="0.25">
      <c r="A200" t="s">
        <v>191</v>
      </c>
      <c r="B200" t="s">
        <v>3</v>
      </c>
      <c r="C200" t="s">
        <v>654</v>
      </c>
      <c r="D200" s="2" t="s">
        <v>650</v>
      </c>
      <c r="E200" t="str">
        <f>_xlfn.XLOOKUP(B200,Laitetyypit!A:A,Laitetyypit!B:B,"ei")</f>
        <v>Thingsee PRESENCE</v>
      </c>
      <c r="F200" t="s">
        <v>659</v>
      </c>
      <c r="G200" s="3">
        <v>0.95</v>
      </c>
      <c r="H200" s="2">
        <v>46164.543495370373</v>
      </c>
      <c r="L200">
        <v>112073986</v>
      </c>
      <c r="M200" t="s">
        <v>593</v>
      </c>
      <c r="N200" t="s">
        <v>827</v>
      </c>
      <c r="O200" t="s">
        <v>671</v>
      </c>
      <c r="P200" t="s">
        <v>666</v>
      </c>
      <c r="Q200">
        <v>2</v>
      </c>
      <c r="R200" t="s">
        <v>670</v>
      </c>
      <c r="S200" t="s">
        <v>671</v>
      </c>
    </row>
    <row r="201" spans="1:19" x14ac:dyDescent="0.25">
      <c r="A201" t="s">
        <v>170</v>
      </c>
      <c r="B201" t="s">
        <v>3</v>
      </c>
      <c r="C201" t="s">
        <v>654</v>
      </c>
      <c r="D201" s="2" t="s">
        <v>650</v>
      </c>
      <c r="E201" t="str">
        <f>_xlfn.XLOOKUP(B201,Laitetyypit!A:A,Laitetyypit!B:B,"ei")</f>
        <v>Thingsee PRESENCE</v>
      </c>
      <c r="F201" t="s">
        <v>659</v>
      </c>
      <c r="G201" s="3">
        <v>0.96</v>
      </c>
      <c r="H201" s="2">
        <v>46164.55395833333</v>
      </c>
      <c r="L201">
        <v>112073987</v>
      </c>
      <c r="M201" t="s">
        <v>594</v>
      </c>
      <c r="N201" t="s">
        <v>827</v>
      </c>
      <c r="O201" t="s">
        <v>671</v>
      </c>
      <c r="P201" t="s">
        <v>666</v>
      </c>
      <c r="Q201">
        <v>2</v>
      </c>
      <c r="R201" t="s">
        <v>670</v>
      </c>
      <c r="S201" t="s">
        <v>671</v>
      </c>
    </row>
    <row r="202" spans="1:19" x14ac:dyDescent="0.25">
      <c r="A202" t="s">
        <v>88</v>
      </c>
      <c r="B202" t="s">
        <v>3</v>
      </c>
      <c r="C202" t="s">
        <v>654</v>
      </c>
      <c r="D202" s="2" t="s">
        <v>650</v>
      </c>
      <c r="E202" t="str">
        <f>_xlfn.XLOOKUP(B202,Laitetyypit!A:A,Laitetyypit!B:B,"ei")</f>
        <v>Thingsee PRESENCE</v>
      </c>
      <c r="F202" t="s">
        <v>659</v>
      </c>
      <c r="G202" s="3">
        <v>0.96</v>
      </c>
      <c r="H202" s="2">
        <v>46164.548726851855</v>
      </c>
      <c r="L202">
        <v>112073988</v>
      </c>
      <c r="M202" t="s">
        <v>595</v>
      </c>
      <c r="N202" t="s">
        <v>827</v>
      </c>
      <c r="O202" t="s">
        <v>671</v>
      </c>
      <c r="P202" t="s">
        <v>666</v>
      </c>
      <c r="Q202">
        <v>2</v>
      </c>
      <c r="R202" t="s">
        <v>670</v>
      </c>
      <c r="S202" t="s">
        <v>671</v>
      </c>
    </row>
    <row r="203" spans="1:19" x14ac:dyDescent="0.25">
      <c r="A203" t="s">
        <v>168</v>
      </c>
      <c r="B203" t="s">
        <v>3</v>
      </c>
      <c r="C203" t="s">
        <v>654</v>
      </c>
      <c r="D203" s="2" t="s">
        <v>650</v>
      </c>
      <c r="E203" t="str">
        <f>_xlfn.XLOOKUP(B203,Laitetyypit!A:A,Laitetyypit!B:B,"ei")</f>
        <v>Thingsee PRESENCE</v>
      </c>
      <c r="F203" t="s">
        <v>659</v>
      </c>
      <c r="G203" s="3">
        <v>0.96</v>
      </c>
      <c r="H203" s="2">
        <v>46164.537812499999</v>
      </c>
      <c r="L203">
        <v>112073989</v>
      </c>
      <c r="M203" t="s">
        <v>596</v>
      </c>
      <c r="N203" t="s">
        <v>827</v>
      </c>
      <c r="O203" t="s">
        <v>671</v>
      </c>
      <c r="P203" t="s">
        <v>666</v>
      </c>
      <c r="Q203">
        <v>2</v>
      </c>
      <c r="R203" t="s">
        <v>670</v>
      </c>
      <c r="S203" t="s">
        <v>671</v>
      </c>
    </row>
    <row r="204" spans="1:19" x14ac:dyDescent="0.25">
      <c r="A204" t="s">
        <v>146</v>
      </c>
      <c r="B204" t="s">
        <v>3</v>
      </c>
      <c r="C204" t="s">
        <v>654</v>
      </c>
      <c r="D204" s="2" t="s">
        <v>650</v>
      </c>
      <c r="E204" t="str">
        <f>_xlfn.XLOOKUP(B204,Laitetyypit!A:A,Laitetyypit!B:B,"ei")</f>
        <v>Thingsee PRESENCE</v>
      </c>
      <c r="F204" t="s">
        <v>659</v>
      </c>
      <c r="G204" s="3">
        <v>0.96</v>
      </c>
      <c r="H204" s="2">
        <v>46164.54923611111</v>
      </c>
      <c r="L204">
        <v>112073990</v>
      </c>
      <c r="M204" t="s">
        <v>597</v>
      </c>
      <c r="N204" t="s">
        <v>827</v>
      </c>
      <c r="O204" t="s">
        <v>671</v>
      </c>
      <c r="P204" t="s">
        <v>666</v>
      </c>
      <c r="Q204">
        <v>2</v>
      </c>
      <c r="R204" t="s">
        <v>670</v>
      </c>
      <c r="S204" t="s">
        <v>671</v>
      </c>
    </row>
    <row r="205" spans="1:19" x14ac:dyDescent="0.25">
      <c r="A205" t="s">
        <v>173</v>
      </c>
      <c r="B205" t="s">
        <v>3</v>
      </c>
      <c r="C205" t="s">
        <v>654</v>
      </c>
      <c r="D205" s="2" t="s">
        <v>650</v>
      </c>
      <c r="E205" t="str">
        <f>_xlfn.XLOOKUP(B205,Laitetyypit!A:A,Laitetyypit!B:B,"ei")</f>
        <v>Thingsee PRESENCE</v>
      </c>
      <c r="F205" t="s">
        <v>659</v>
      </c>
      <c r="G205" s="3">
        <v>0.96</v>
      </c>
      <c r="H205" s="2">
        <v>46164.537256944444</v>
      </c>
      <c r="L205">
        <v>112073991</v>
      </c>
      <c r="M205" t="s">
        <v>598</v>
      </c>
      <c r="N205" t="s">
        <v>827</v>
      </c>
      <c r="O205" t="s">
        <v>671</v>
      </c>
      <c r="P205" t="s">
        <v>666</v>
      </c>
      <c r="Q205">
        <v>2</v>
      </c>
      <c r="R205" t="s">
        <v>670</v>
      </c>
      <c r="S205" t="s">
        <v>671</v>
      </c>
    </row>
    <row r="206" spans="1:19" x14ac:dyDescent="0.25">
      <c r="A206" t="s">
        <v>111</v>
      </c>
      <c r="B206" t="s">
        <v>3</v>
      </c>
      <c r="C206" t="s">
        <v>654</v>
      </c>
      <c r="D206" s="2" t="s">
        <v>650</v>
      </c>
      <c r="E206" t="str">
        <f>_xlfn.XLOOKUP(B206,Laitetyypit!A:A,Laitetyypit!B:B,"ei")</f>
        <v>Thingsee PRESENCE</v>
      </c>
      <c r="F206" t="s">
        <v>659</v>
      </c>
      <c r="G206" s="3">
        <v>0.96</v>
      </c>
      <c r="H206" s="2">
        <v>46164.545104166667</v>
      </c>
      <c r="L206">
        <v>112073992</v>
      </c>
      <c r="M206" t="s">
        <v>599</v>
      </c>
      <c r="N206" t="s">
        <v>827</v>
      </c>
      <c r="O206" t="s">
        <v>671</v>
      </c>
      <c r="P206" t="s">
        <v>666</v>
      </c>
      <c r="Q206">
        <v>2</v>
      </c>
      <c r="R206" t="s">
        <v>670</v>
      </c>
      <c r="S206" t="s">
        <v>671</v>
      </c>
    </row>
    <row r="207" spans="1:19" x14ac:dyDescent="0.25">
      <c r="A207" t="s">
        <v>193</v>
      </c>
      <c r="B207" t="s">
        <v>3</v>
      </c>
      <c r="C207" t="s">
        <v>654</v>
      </c>
      <c r="D207" s="2" t="s">
        <v>650</v>
      </c>
      <c r="E207" t="str">
        <f>_xlfn.XLOOKUP(B207,Laitetyypit!A:A,Laitetyypit!B:B,"ei")</f>
        <v>Thingsee PRESENCE</v>
      </c>
      <c r="F207" t="s">
        <v>659</v>
      </c>
      <c r="G207" s="3">
        <v>0.96</v>
      </c>
      <c r="H207" s="2">
        <v>46164.553391203706</v>
      </c>
      <c r="L207">
        <v>112073993</v>
      </c>
      <c r="M207" t="s">
        <v>600</v>
      </c>
      <c r="N207" t="s">
        <v>827</v>
      </c>
      <c r="O207" t="s">
        <v>671</v>
      </c>
      <c r="P207" t="s">
        <v>666</v>
      </c>
      <c r="Q207">
        <v>2</v>
      </c>
      <c r="R207" t="s">
        <v>670</v>
      </c>
      <c r="S207" t="s">
        <v>671</v>
      </c>
    </row>
    <row r="208" spans="1:19" x14ac:dyDescent="0.25">
      <c r="A208" t="s">
        <v>177</v>
      </c>
      <c r="B208" t="s">
        <v>3</v>
      </c>
      <c r="C208" t="s">
        <v>654</v>
      </c>
      <c r="D208" s="2" t="s">
        <v>650</v>
      </c>
      <c r="E208" t="str">
        <f>_xlfn.XLOOKUP(B208,Laitetyypit!A:A,Laitetyypit!B:B,"ei")</f>
        <v>Thingsee PRESENCE</v>
      </c>
      <c r="F208" t="s">
        <v>659</v>
      </c>
      <c r="G208" s="3">
        <v>0.96</v>
      </c>
      <c r="H208" s="2">
        <v>46164.555879629632</v>
      </c>
      <c r="L208">
        <v>112073994</v>
      </c>
      <c r="M208" t="s">
        <v>601</v>
      </c>
      <c r="N208" t="s">
        <v>827</v>
      </c>
      <c r="O208" t="s">
        <v>671</v>
      </c>
      <c r="P208" t="s">
        <v>666</v>
      </c>
      <c r="Q208">
        <v>2</v>
      </c>
      <c r="R208" t="s">
        <v>670</v>
      </c>
      <c r="S208" t="s">
        <v>671</v>
      </c>
    </row>
    <row r="209" spans="1:19" x14ac:dyDescent="0.25">
      <c r="A209" t="s">
        <v>176</v>
      </c>
      <c r="B209" t="s">
        <v>3</v>
      </c>
      <c r="C209" t="s">
        <v>654</v>
      </c>
      <c r="D209" s="2" t="s">
        <v>650</v>
      </c>
      <c r="E209" t="str">
        <f>_xlfn.XLOOKUP(B209,Laitetyypit!A:A,Laitetyypit!B:B,"ei")</f>
        <v>Thingsee PRESENCE</v>
      </c>
      <c r="F209" t="s">
        <v>659</v>
      </c>
      <c r="G209" s="3">
        <v>0.96</v>
      </c>
      <c r="H209" s="2">
        <v>46164.55431712963</v>
      </c>
      <c r="L209">
        <v>112073995</v>
      </c>
      <c r="M209" t="s">
        <v>602</v>
      </c>
      <c r="N209" t="s">
        <v>827</v>
      </c>
      <c r="O209" t="s">
        <v>671</v>
      </c>
      <c r="P209" t="s">
        <v>666</v>
      </c>
      <c r="Q209">
        <v>2</v>
      </c>
      <c r="R209" t="s">
        <v>670</v>
      </c>
      <c r="S209" t="s">
        <v>671</v>
      </c>
    </row>
    <row r="210" spans="1:19" x14ac:dyDescent="0.25">
      <c r="A210" t="s">
        <v>199</v>
      </c>
      <c r="B210" t="s">
        <v>3</v>
      </c>
      <c r="C210" t="s">
        <v>654</v>
      </c>
      <c r="D210" s="2" t="s">
        <v>650</v>
      </c>
      <c r="E210" t="str">
        <f>_xlfn.XLOOKUP(B210,Laitetyypit!A:A,Laitetyypit!B:B,"ei")</f>
        <v>Thingsee PRESENCE</v>
      </c>
      <c r="F210" t="s">
        <v>659</v>
      </c>
      <c r="G210" s="3">
        <v>0.96</v>
      </c>
      <c r="H210" s="2">
        <v>46164.53806712963</v>
      </c>
      <c r="L210">
        <v>112073996</v>
      </c>
      <c r="M210" t="s">
        <v>603</v>
      </c>
      <c r="N210" t="s">
        <v>827</v>
      </c>
      <c r="O210" t="s">
        <v>671</v>
      </c>
      <c r="P210" t="s">
        <v>666</v>
      </c>
      <c r="Q210">
        <v>2</v>
      </c>
      <c r="R210" t="s">
        <v>670</v>
      </c>
      <c r="S210" t="s">
        <v>671</v>
      </c>
    </row>
    <row r="211" spans="1:19" x14ac:dyDescent="0.25">
      <c r="A211" t="s">
        <v>166</v>
      </c>
      <c r="B211" t="s">
        <v>3</v>
      </c>
      <c r="C211" t="s">
        <v>654</v>
      </c>
      <c r="D211" s="2" t="s">
        <v>650</v>
      </c>
      <c r="E211" t="str">
        <f>_xlfn.XLOOKUP(B211,Laitetyypit!A:A,Laitetyypit!B:B,"ei")</f>
        <v>Thingsee PRESENCE</v>
      </c>
      <c r="F211" t="s">
        <v>659</v>
      </c>
      <c r="G211" s="3">
        <v>0.96</v>
      </c>
      <c r="H211" s="2">
        <v>46164.550625000003</v>
      </c>
      <c r="L211">
        <v>112073997</v>
      </c>
      <c r="M211" t="s">
        <v>604</v>
      </c>
      <c r="N211" t="s">
        <v>827</v>
      </c>
      <c r="O211" t="s">
        <v>671</v>
      </c>
      <c r="P211" t="s">
        <v>666</v>
      </c>
      <c r="Q211">
        <v>2</v>
      </c>
      <c r="R211" t="s">
        <v>670</v>
      </c>
      <c r="S211" t="s">
        <v>671</v>
      </c>
    </row>
    <row r="212" spans="1:19" x14ac:dyDescent="0.25">
      <c r="A212" t="s">
        <v>202</v>
      </c>
      <c r="B212" t="s">
        <v>3</v>
      </c>
      <c r="C212" t="s">
        <v>654</v>
      </c>
      <c r="D212" s="2" t="s">
        <v>650</v>
      </c>
      <c r="E212" t="str">
        <f>_xlfn.XLOOKUP(B212,Laitetyypit!A:A,Laitetyypit!B:B,"ei")</f>
        <v>Thingsee PRESENCE</v>
      </c>
      <c r="F212" t="s">
        <v>659</v>
      </c>
      <c r="G212" s="3">
        <v>0.96</v>
      </c>
      <c r="H212" s="2">
        <v>46164.553263888891</v>
      </c>
      <c r="L212">
        <v>112077069</v>
      </c>
      <c r="M212" t="s">
        <v>522</v>
      </c>
      <c r="N212" t="s">
        <v>827</v>
      </c>
      <c r="O212" t="s">
        <v>671</v>
      </c>
      <c r="P212" t="s">
        <v>666</v>
      </c>
      <c r="Q212">
        <v>2</v>
      </c>
      <c r="R212" t="s">
        <v>670</v>
      </c>
      <c r="S212" t="s">
        <v>671</v>
      </c>
    </row>
    <row r="213" spans="1:19" x14ac:dyDescent="0.25">
      <c r="A213" t="s">
        <v>178</v>
      </c>
      <c r="B213" t="s">
        <v>3</v>
      </c>
      <c r="C213" t="s">
        <v>654</v>
      </c>
      <c r="D213" s="2" t="s">
        <v>650</v>
      </c>
      <c r="E213" t="str">
        <f>_xlfn.XLOOKUP(B213,Laitetyypit!A:A,Laitetyypit!B:B,"ei")</f>
        <v>Thingsee PRESENCE</v>
      </c>
      <c r="F213" t="s">
        <v>659</v>
      </c>
      <c r="G213" s="3">
        <v>0.96</v>
      </c>
      <c r="H213" s="2">
        <v>46164.543229166666</v>
      </c>
      <c r="L213">
        <v>112077070</v>
      </c>
      <c r="M213" t="s">
        <v>523</v>
      </c>
      <c r="N213" t="s">
        <v>827</v>
      </c>
      <c r="O213" t="s">
        <v>671</v>
      </c>
      <c r="P213" t="s">
        <v>666</v>
      </c>
      <c r="Q213">
        <v>2</v>
      </c>
      <c r="R213" t="s">
        <v>670</v>
      </c>
      <c r="S213" t="s">
        <v>671</v>
      </c>
    </row>
    <row r="214" spans="1:19" x14ac:dyDescent="0.25">
      <c r="A214" t="s">
        <v>203</v>
      </c>
      <c r="B214" t="s">
        <v>3</v>
      </c>
      <c r="C214" t="s">
        <v>654</v>
      </c>
      <c r="D214" s="2" t="s">
        <v>650</v>
      </c>
      <c r="E214" t="str">
        <f>_xlfn.XLOOKUP(B214,Laitetyypit!A:A,Laitetyypit!B:B,"ei")</f>
        <v>Thingsee PRESENCE</v>
      </c>
      <c r="F214" t="s">
        <v>659</v>
      </c>
      <c r="G214" s="3">
        <v>0.96</v>
      </c>
      <c r="H214" s="2">
        <v>46164.546701388892</v>
      </c>
      <c r="L214">
        <v>112077071</v>
      </c>
      <c r="M214" t="s">
        <v>524</v>
      </c>
      <c r="N214" t="s">
        <v>827</v>
      </c>
      <c r="O214" t="s">
        <v>671</v>
      </c>
      <c r="P214" t="s">
        <v>666</v>
      </c>
      <c r="Q214">
        <v>2</v>
      </c>
      <c r="R214" t="s">
        <v>670</v>
      </c>
      <c r="S214" t="s">
        <v>671</v>
      </c>
    </row>
    <row r="215" spans="1:19" x14ac:dyDescent="0.25">
      <c r="A215" t="s">
        <v>211</v>
      </c>
      <c r="B215" t="s">
        <v>367</v>
      </c>
      <c r="C215" t="s">
        <v>654</v>
      </c>
      <c r="D215" s="2" t="s">
        <v>650</v>
      </c>
      <c r="E215" t="str">
        <f>_xlfn.XLOOKUP(B215,Laitetyypit!A:A,Laitetyypit!B:B,"ei")</f>
        <v>Thingsee PRESENCE</v>
      </c>
      <c r="F215" t="s">
        <v>659</v>
      </c>
      <c r="G215" s="3">
        <v>0.4</v>
      </c>
      <c r="H215" s="2">
        <v>46164.555914351855</v>
      </c>
      <c r="L215">
        <v>112079177</v>
      </c>
      <c r="M215" t="s">
        <v>525</v>
      </c>
      <c r="N215" t="s">
        <v>827</v>
      </c>
      <c r="O215" t="s">
        <v>677</v>
      </c>
      <c r="P215" s="1" t="s">
        <v>667</v>
      </c>
      <c r="Q215">
        <v>2</v>
      </c>
      <c r="R215" t="s">
        <v>670</v>
      </c>
      <c r="S215" t="s">
        <v>677</v>
      </c>
    </row>
    <row r="216" spans="1:19" x14ac:dyDescent="0.25">
      <c r="A216" t="s">
        <v>206</v>
      </c>
      <c r="B216" t="s">
        <v>367</v>
      </c>
      <c r="C216" t="s">
        <v>654</v>
      </c>
      <c r="D216" s="2" t="s">
        <v>650</v>
      </c>
      <c r="E216" t="str">
        <f>_xlfn.XLOOKUP(B216,Laitetyypit!A:A,Laitetyypit!B:B,"ei")</f>
        <v>Thingsee PRESENCE</v>
      </c>
      <c r="F216" t="s">
        <v>659</v>
      </c>
      <c r="G216" s="3">
        <v>0</v>
      </c>
      <c r="H216" s="2">
        <v>46150.590104166666</v>
      </c>
      <c r="L216">
        <v>112079179</v>
      </c>
      <c r="M216" t="s">
        <v>605</v>
      </c>
      <c r="N216" t="s">
        <v>827</v>
      </c>
      <c r="O216" t="s">
        <v>677</v>
      </c>
      <c r="P216" t="s">
        <v>667</v>
      </c>
      <c r="Q216">
        <v>2</v>
      </c>
      <c r="R216" t="s">
        <v>670</v>
      </c>
      <c r="S216" t="s">
        <v>677</v>
      </c>
    </row>
    <row r="217" spans="1:19" x14ac:dyDescent="0.25">
      <c r="A217" t="s">
        <v>227</v>
      </c>
      <c r="B217" t="s">
        <v>213</v>
      </c>
      <c r="C217" t="s">
        <v>654</v>
      </c>
      <c r="D217" s="2" t="s">
        <v>650</v>
      </c>
      <c r="E217" t="str">
        <f>_xlfn.XLOOKUP(B217,Laitetyypit!A:A,Laitetyypit!B:B,"ei")</f>
        <v>Thingsee BEAM</v>
      </c>
      <c r="F217" t="s">
        <v>659</v>
      </c>
      <c r="G217" s="3">
        <v>0.95</v>
      </c>
      <c r="H217" s="2">
        <v>46164.542673611111</v>
      </c>
      <c r="L217">
        <v>112079185</v>
      </c>
      <c r="M217" t="s">
        <v>606</v>
      </c>
      <c r="N217" t="s">
        <v>827</v>
      </c>
      <c r="O217" t="s">
        <v>677</v>
      </c>
      <c r="P217" s="1" t="s">
        <v>668</v>
      </c>
      <c r="Q217">
        <v>2</v>
      </c>
      <c r="R217" t="s">
        <v>670</v>
      </c>
      <c r="S217" t="s">
        <v>677</v>
      </c>
    </row>
    <row r="218" spans="1:19" x14ac:dyDescent="0.25">
      <c r="A218" t="s">
        <v>368</v>
      </c>
      <c r="B218" t="s">
        <v>213</v>
      </c>
      <c r="C218" t="s">
        <v>654</v>
      </c>
      <c r="D218" s="2" t="s">
        <v>650</v>
      </c>
      <c r="E218" t="str">
        <f>_xlfn.XLOOKUP(B218,Laitetyypit!A:A,Laitetyypit!B:B,"ei")</f>
        <v>Thingsee BEAM</v>
      </c>
      <c r="F218" t="s">
        <v>659</v>
      </c>
      <c r="G218" s="3">
        <v>0.95</v>
      </c>
      <c r="H218" s="2">
        <v>46164.552673611113</v>
      </c>
      <c r="L218">
        <v>112079186</v>
      </c>
      <c r="M218" t="s">
        <v>607</v>
      </c>
      <c r="N218" t="s">
        <v>827</v>
      </c>
      <c r="O218" t="s">
        <v>677</v>
      </c>
      <c r="P218" s="1" t="s">
        <v>668</v>
      </c>
      <c r="Q218">
        <v>2</v>
      </c>
      <c r="R218" t="s">
        <v>670</v>
      </c>
      <c r="S218" t="s">
        <v>677</v>
      </c>
    </row>
    <row r="219" spans="1:19" x14ac:dyDescent="0.25">
      <c r="A219" t="s">
        <v>230</v>
      </c>
      <c r="B219" t="s">
        <v>213</v>
      </c>
      <c r="C219" t="s">
        <v>654</v>
      </c>
      <c r="D219" s="2" t="s">
        <v>650</v>
      </c>
      <c r="E219" t="str">
        <f>_xlfn.XLOOKUP(B219,Laitetyypit!A:A,Laitetyypit!B:B,"ei")</f>
        <v>Thingsee BEAM</v>
      </c>
      <c r="F219" t="s">
        <v>659</v>
      </c>
      <c r="G219" s="3">
        <v>0.95</v>
      </c>
      <c r="H219" s="2">
        <v>46164.551527777781</v>
      </c>
      <c r="L219">
        <v>112079187</v>
      </c>
      <c r="M219" t="s">
        <v>608</v>
      </c>
      <c r="N219" t="s">
        <v>827</v>
      </c>
      <c r="O219" t="s">
        <v>677</v>
      </c>
      <c r="P219" s="1" t="s">
        <v>668</v>
      </c>
      <c r="Q219">
        <v>2</v>
      </c>
      <c r="R219" t="s">
        <v>670</v>
      </c>
      <c r="S219" t="s">
        <v>677</v>
      </c>
    </row>
    <row r="220" spans="1:19" x14ac:dyDescent="0.25">
      <c r="A220" t="s">
        <v>214</v>
      </c>
      <c r="B220" t="s">
        <v>213</v>
      </c>
      <c r="C220" t="s">
        <v>654</v>
      </c>
      <c r="D220" s="2" t="s">
        <v>650</v>
      </c>
      <c r="E220" t="str">
        <f>_xlfn.XLOOKUP(B220,Laitetyypit!A:A,Laitetyypit!B:B,"ei")</f>
        <v>Thingsee BEAM</v>
      </c>
      <c r="F220" t="s">
        <v>659</v>
      </c>
      <c r="G220" s="3">
        <v>0.37</v>
      </c>
      <c r="H220" s="2">
        <v>45173.430509259262</v>
      </c>
      <c r="L220">
        <v>112079189</v>
      </c>
      <c r="M220" t="s">
        <v>609</v>
      </c>
      <c r="N220" t="s">
        <v>827</v>
      </c>
      <c r="O220" t="s">
        <v>677</v>
      </c>
      <c r="P220" s="1" t="s">
        <v>668</v>
      </c>
      <c r="Q220">
        <v>2</v>
      </c>
      <c r="R220" t="s">
        <v>670</v>
      </c>
      <c r="S220" t="s">
        <v>677</v>
      </c>
    </row>
    <row r="221" spans="1:19" x14ac:dyDescent="0.25">
      <c r="A221" t="s">
        <v>343</v>
      </c>
      <c r="B221" t="s">
        <v>213</v>
      </c>
      <c r="C221" t="s">
        <v>654</v>
      </c>
      <c r="D221" s="2" t="s">
        <v>650</v>
      </c>
      <c r="E221" t="str">
        <f>_xlfn.XLOOKUP(B221,Laitetyypit!A:A,Laitetyypit!B:B,"ei")</f>
        <v>Thingsee BEAM</v>
      </c>
      <c r="F221" t="s">
        <v>659</v>
      </c>
      <c r="G221" s="3">
        <v>0.93</v>
      </c>
      <c r="H221" s="2">
        <v>46164.541481481479</v>
      </c>
      <c r="L221">
        <v>112079190</v>
      </c>
      <c r="M221" t="s">
        <v>610</v>
      </c>
      <c r="N221" t="s">
        <v>827</v>
      </c>
      <c r="O221" t="s">
        <v>677</v>
      </c>
      <c r="P221" s="1" t="s">
        <v>668</v>
      </c>
      <c r="Q221">
        <v>2</v>
      </c>
      <c r="R221" t="s">
        <v>670</v>
      </c>
      <c r="S221" t="s">
        <v>677</v>
      </c>
    </row>
    <row r="222" spans="1:19" x14ac:dyDescent="0.25">
      <c r="A222" t="s">
        <v>215</v>
      </c>
      <c r="B222" t="s">
        <v>213</v>
      </c>
      <c r="C222" t="s">
        <v>654</v>
      </c>
      <c r="D222" s="2" t="s">
        <v>650</v>
      </c>
      <c r="E222" t="str">
        <f>_xlfn.XLOOKUP(B222,Laitetyypit!A:A,Laitetyypit!B:B,"ei")</f>
        <v>Thingsee BEAM</v>
      </c>
      <c r="F222" t="s">
        <v>659</v>
      </c>
      <c r="G222" s="3">
        <v>0.94</v>
      </c>
      <c r="H222" s="2">
        <v>46164.544606481482</v>
      </c>
      <c r="L222">
        <v>112079191</v>
      </c>
      <c r="M222" t="s">
        <v>611</v>
      </c>
      <c r="N222" t="s">
        <v>827</v>
      </c>
      <c r="O222" t="s">
        <v>677</v>
      </c>
      <c r="P222" s="1" t="s">
        <v>668</v>
      </c>
      <c r="Q222">
        <v>2</v>
      </c>
      <c r="R222" t="s">
        <v>670</v>
      </c>
      <c r="S222" t="s">
        <v>677</v>
      </c>
    </row>
    <row r="223" spans="1:19" x14ac:dyDescent="0.25">
      <c r="A223" t="s">
        <v>218</v>
      </c>
      <c r="B223" t="s">
        <v>213</v>
      </c>
      <c r="C223" t="s">
        <v>654</v>
      </c>
      <c r="D223" s="2" t="s">
        <v>650</v>
      </c>
      <c r="E223" t="str">
        <f>_xlfn.XLOOKUP(B223,Laitetyypit!A:A,Laitetyypit!B:B,"ei")</f>
        <v>Thingsee BEAM</v>
      </c>
      <c r="F223" t="s">
        <v>659</v>
      </c>
      <c r="G223" s="3">
        <v>0.93</v>
      </c>
      <c r="H223" s="2">
        <v>46164.547731481478</v>
      </c>
      <c r="L223">
        <v>112079192</v>
      </c>
      <c r="M223" t="s">
        <v>612</v>
      </c>
      <c r="N223" t="s">
        <v>827</v>
      </c>
      <c r="O223" t="s">
        <v>677</v>
      </c>
      <c r="P223" s="1" t="s">
        <v>668</v>
      </c>
      <c r="Q223">
        <v>2</v>
      </c>
      <c r="R223" t="s">
        <v>670</v>
      </c>
      <c r="S223" t="s">
        <v>677</v>
      </c>
    </row>
    <row r="224" spans="1:19" x14ac:dyDescent="0.25">
      <c r="A224" t="s">
        <v>229</v>
      </c>
      <c r="B224" t="s">
        <v>213</v>
      </c>
      <c r="C224" t="s">
        <v>654</v>
      </c>
      <c r="D224" s="2" t="s">
        <v>650</v>
      </c>
      <c r="E224" t="str">
        <f>_xlfn.XLOOKUP(B224,Laitetyypit!A:A,Laitetyypit!B:B,"ei")</f>
        <v>Thingsee BEAM</v>
      </c>
      <c r="F224" t="s">
        <v>659</v>
      </c>
      <c r="G224" s="3">
        <v>0</v>
      </c>
      <c r="H224" s="2">
        <v>45685.379363425927</v>
      </c>
      <c r="L224">
        <v>112079193</v>
      </c>
      <c r="M224" t="s">
        <v>613</v>
      </c>
      <c r="N224" t="s">
        <v>827</v>
      </c>
      <c r="O224" t="s">
        <v>677</v>
      </c>
      <c r="P224" s="1" t="s">
        <v>668</v>
      </c>
      <c r="Q224">
        <v>2</v>
      </c>
      <c r="R224" t="s">
        <v>670</v>
      </c>
      <c r="S224" t="s">
        <v>677</v>
      </c>
    </row>
    <row r="225" spans="1:19" x14ac:dyDescent="0.25">
      <c r="A225" t="s">
        <v>236</v>
      </c>
      <c r="B225" t="s">
        <v>367</v>
      </c>
      <c r="C225" t="s">
        <v>654</v>
      </c>
      <c r="D225" s="2" t="s">
        <v>650</v>
      </c>
      <c r="E225" t="str">
        <f>_xlfn.XLOOKUP(B225,Laitetyypit!A:A,Laitetyypit!B:B,"ei")</f>
        <v>Thingsee PRESENCE</v>
      </c>
      <c r="F225" t="s">
        <v>659</v>
      </c>
      <c r="G225" s="3">
        <v>0.96</v>
      </c>
      <c r="H225" s="2">
        <v>46164.553726851853</v>
      </c>
      <c r="L225">
        <v>112079195</v>
      </c>
      <c r="M225" t="s">
        <v>614</v>
      </c>
      <c r="N225" t="s">
        <v>827</v>
      </c>
      <c r="O225" t="s">
        <v>671</v>
      </c>
      <c r="P225" s="1" t="s">
        <v>667</v>
      </c>
      <c r="Q225">
        <v>1</v>
      </c>
      <c r="R225" t="s">
        <v>670</v>
      </c>
      <c r="S225" t="s">
        <v>671</v>
      </c>
    </row>
    <row r="226" spans="1:19" x14ac:dyDescent="0.25">
      <c r="A226" t="s">
        <v>237</v>
      </c>
      <c r="B226" t="s">
        <v>367</v>
      </c>
      <c r="C226" t="s">
        <v>654</v>
      </c>
      <c r="D226" s="2" t="s">
        <v>650</v>
      </c>
      <c r="E226" t="str">
        <f>_xlfn.XLOOKUP(B226,Laitetyypit!A:A,Laitetyypit!B:B,"ei")</f>
        <v>Thingsee PRESENCE</v>
      </c>
      <c r="F226" t="s">
        <v>659</v>
      </c>
      <c r="G226" s="3">
        <v>0.96</v>
      </c>
      <c r="H226" s="2">
        <v>46164.556041666663</v>
      </c>
      <c r="L226">
        <v>112079196</v>
      </c>
      <c r="M226" t="s">
        <v>615</v>
      </c>
      <c r="N226" t="s">
        <v>827</v>
      </c>
      <c r="O226" t="s">
        <v>671</v>
      </c>
      <c r="P226" s="1" t="s">
        <v>667</v>
      </c>
      <c r="Q226">
        <v>1</v>
      </c>
      <c r="R226" t="s">
        <v>670</v>
      </c>
      <c r="S226" t="s">
        <v>671</v>
      </c>
    </row>
    <row r="227" spans="1:19" x14ac:dyDescent="0.25">
      <c r="A227" t="s">
        <v>384</v>
      </c>
      <c r="B227" t="s">
        <v>367</v>
      </c>
      <c r="C227" t="s">
        <v>654</v>
      </c>
      <c r="D227" s="2" t="s">
        <v>650</v>
      </c>
      <c r="E227" t="str">
        <f>_xlfn.XLOOKUP(B227,Laitetyypit!A:A,Laitetyypit!B:B,"ei")</f>
        <v>Thingsee PRESENCE</v>
      </c>
      <c r="F227" t="s">
        <v>659</v>
      </c>
      <c r="G227" s="3">
        <v>0.96</v>
      </c>
      <c r="H227" s="2">
        <v>46164.556215277778</v>
      </c>
      <c r="L227">
        <v>112079198</v>
      </c>
      <c r="M227" t="s">
        <v>616</v>
      </c>
      <c r="N227" t="s">
        <v>827</v>
      </c>
      <c r="O227" t="s">
        <v>671</v>
      </c>
      <c r="P227" s="1" t="s">
        <v>667</v>
      </c>
      <c r="Q227">
        <v>1</v>
      </c>
      <c r="R227" t="s">
        <v>670</v>
      </c>
      <c r="S227" t="s">
        <v>671</v>
      </c>
    </row>
    <row r="228" spans="1:19" x14ac:dyDescent="0.25">
      <c r="A228" t="s">
        <v>238</v>
      </c>
      <c r="B228" t="s">
        <v>367</v>
      </c>
      <c r="C228" t="s">
        <v>654</v>
      </c>
      <c r="D228" s="2" t="s">
        <v>650</v>
      </c>
      <c r="E228" t="str">
        <f>_xlfn.XLOOKUP(B228,Laitetyypit!A:A,Laitetyypit!B:B,"ei")</f>
        <v>Thingsee PRESENCE</v>
      </c>
      <c r="F228" t="s">
        <v>659</v>
      </c>
      <c r="G228" s="3">
        <v>0.2</v>
      </c>
      <c r="H228" s="2">
        <v>46148.174641203703</v>
      </c>
      <c r="L228">
        <v>112079199</v>
      </c>
      <c r="M228" t="s">
        <v>617</v>
      </c>
      <c r="N228" t="s">
        <v>827</v>
      </c>
      <c r="O228" t="s">
        <v>671</v>
      </c>
      <c r="P228" s="1" t="s">
        <v>667</v>
      </c>
      <c r="Q228">
        <v>1</v>
      </c>
      <c r="R228" t="s">
        <v>670</v>
      </c>
      <c r="S228" t="s">
        <v>671</v>
      </c>
    </row>
    <row r="229" spans="1:19" x14ac:dyDescent="0.25">
      <c r="A229" t="s">
        <v>374</v>
      </c>
      <c r="B229" t="s">
        <v>213</v>
      </c>
      <c r="C229" t="s">
        <v>654</v>
      </c>
      <c r="D229" s="2" t="s">
        <v>650</v>
      </c>
      <c r="E229" t="str">
        <f>_xlfn.XLOOKUP(B229,Laitetyypit!A:A,Laitetyypit!B:B,"ei")</f>
        <v>Thingsee BEAM</v>
      </c>
      <c r="F229" t="s">
        <v>659</v>
      </c>
      <c r="G229" s="3">
        <v>0.88</v>
      </c>
      <c r="H229" s="2">
        <v>46164.517881944441</v>
      </c>
      <c r="L229">
        <v>112079200</v>
      </c>
      <c r="M229" t="s">
        <v>618</v>
      </c>
      <c r="N229" t="s">
        <v>827</v>
      </c>
      <c r="O229" t="s">
        <v>671</v>
      </c>
      <c r="P229" s="1" t="s">
        <v>668</v>
      </c>
      <c r="Q229">
        <v>1</v>
      </c>
      <c r="R229" t="s">
        <v>670</v>
      </c>
      <c r="S229" t="s">
        <v>671</v>
      </c>
    </row>
    <row r="230" spans="1:19" x14ac:dyDescent="0.25">
      <c r="A230" t="s">
        <v>242</v>
      </c>
      <c r="B230" t="s">
        <v>213</v>
      </c>
      <c r="C230" t="s">
        <v>654</v>
      </c>
      <c r="D230" s="2" t="s">
        <v>650</v>
      </c>
      <c r="E230" t="str">
        <f>_xlfn.XLOOKUP(B230,Laitetyypit!A:A,Laitetyypit!B:B,"ei")</f>
        <v>Thingsee BEAM</v>
      </c>
      <c r="F230" t="s">
        <v>659</v>
      </c>
      <c r="G230" s="3">
        <v>0.87</v>
      </c>
      <c r="H230" s="2">
        <v>46164.535208333335</v>
      </c>
      <c r="L230">
        <v>112079201</v>
      </c>
      <c r="M230" t="s">
        <v>619</v>
      </c>
      <c r="N230" t="s">
        <v>827</v>
      </c>
      <c r="O230" t="s">
        <v>671</v>
      </c>
      <c r="P230" s="1" t="s">
        <v>668</v>
      </c>
      <c r="Q230">
        <v>1</v>
      </c>
      <c r="R230" t="s">
        <v>670</v>
      </c>
      <c r="S230" t="s">
        <v>671</v>
      </c>
    </row>
    <row r="231" spans="1:19" x14ac:dyDescent="0.25">
      <c r="A231" t="s">
        <v>241</v>
      </c>
      <c r="B231" t="s">
        <v>213</v>
      </c>
      <c r="C231" t="s">
        <v>654</v>
      </c>
      <c r="D231" s="2" t="s">
        <v>650</v>
      </c>
      <c r="E231" t="str">
        <f>_xlfn.XLOOKUP(B231,Laitetyypit!A:A,Laitetyypit!B:B,"ei")</f>
        <v>Thingsee BEAM</v>
      </c>
      <c r="F231" t="s">
        <v>659</v>
      </c>
      <c r="G231" s="3">
        <v>0.93</v>
      </c>
      <c r="H231" s="2">
        <v>46164.550011574072</v>
      </c>
      <c r="L231">
        <v>112079202</v>
      </c>
      <c r="M231" t="s">
        <v>620</v>
      </c>
      <c r="N231" t="s">
        <v>827</v>
      </c>
      <c r="O231" t="s">
        <v>671</v>
      </c>
      <c r="P231" s="1" t="s">
        <v>668</v>
      </c>
      <c r="Q231">
        <v>1</v>
      </c>
      <c r="R231" t="s">
        <v>670</v>
      </c>
      <c r="S231" t="s">
        <v>671</v>
      </c>
    </row>
    <row r="232" spans="1:19" x14ac:dyDescent="0.25">
      <c r="A232" t="s">
        <v>240</v>
      </c>
      <c r="B232" t="s">
        <v>213</v>
      </c>
      <c r="C232" t="s">
        <v>654</v>
      </c>
      <c r="D232" s="2" t="s">
        <v>650</v>
      </c>
      <c r="E232" t="str">
        <f>_xlfn.XLOOKUP(B232,Laitetyypit!A:A,Laitetyypit!B:B,"ei")</f>
        <v>Thingsee BEAM</v>
      </c>
      <c r="F232" t="s">
        <v>659</v>
      </c>
      <c r="G232" s="3">
        <v>0.95</v>
      </c>
      <c r="H232" s="2">
        <v>46164.555081018516</v>
      </c>
      <c r="L232">
        <v>112079203</v>
      </c>
      <c r="M232" t="s">
        <v>621</v>
      </c>
      <c r="N232" t="s">
        <v>827</v>
      </c>
      <c r="O232" t="s">
        <v>671</v>
      </c>
      <c r="P232" s="1" t="s">
        <v>668</v>
      </c>
      <c r="Q232">
        <v>1</v>
      </c>
      <c r="R232" t="s">
        <v>670</v>
      </c>
      <c r="S232" t="s">
        <v>671</v>
      </c>
    </row>
    <row r="233" spans="1:19" x14ac:dyDescent="0.25">
      <c r="A233" t="s">
        <v>300</v>
      </c>
      <c r="B233" t="s">
        <v>213</v>
      </c>
      <c r="C233" t="s">
        <v>654</v>
      </c>
      <c r="D233" s="2" t="s">
        <v>650</v>
      </c>
      <c r="E233" t="str">
        <f>_xlfn.XLOOKUP(B233,Laitetyypit!A:A,Laitetyypit!B:B,"ei")</f>
        <v>Thingsee BEAM</v>
      </c>
      <c r="F233" t="s">
        <v>659</v>
      </c>
      <c r="G233" s="3">
        <v>0.75</v>
      </c>
      <c r="H233" s="2">
        <v>45758.472731481481</v>
      </c>
      <c r="L233">
        <v>112079204</v>
      </c>
      <c r="M233" t="s">
        <v>622</v>
      </c>
      <c r="N233" t="s">
        <v>827</v>
      </c>
      <c r="O233" t="s">
        <v>673</v>
      </c>
      <c r="P233" s="1" t="s">
        <v>669</v>
      </c>
      <c r="Q233">
        <v>1</v>
      </c>
      <c r="R233" t="s">
        <v>670</v>
      </c>
      <c r="S233" t="s">
        <v>673</v>
      </c>
    </row>
    <row r="234" spans="1:19" x14ac:dyDescent="0.25">
      <c r="A234" t="s">
        <v>383</v>
      </c>
      <c r="B234" t="s">
        <v>213</v>
      </c>
      <c r="C234" t="s">
        <v>654</v>
      </c>
      <c r="D234" s="2" t="s">
        <v>650</v>
      </c>
      <c r="E234" t="str">
        <f>_xlfn.XLOOKUP(B234,Laitetyypit!A:A,Laitetyypit!B:B,"ei")</f>
        <v>Thingsee BEAM</v>
      </c>
      <c r="F234" t="s">
        <v>659</v>
      </c>
      <c r="G234" s="3">
        <v>0.95</v>
      </c>
      <c r="H234" s="2">
        <v>46164.540324074071</v>
      </c>
      <c r="L234">
        <v>112079205</v>
      </c>
      <c r="M234" t="s">
        <v>623</v>
      </c>
      <c r="N234" t="s">
        <v>827</v>
      </c>
      <c r="O234" t="s">
        <v>674</v>
      </c>
      <c r="P234" s="1" t="s">
        <v>669</v>
      </c>
      <c r="Q234">
        <v>1</v>
      </c>
      <c r="R234" t="s">
        <v>670</v>
      </c>
      <c r="S234" t="s">
        <v>674</v>
      </c>
    </row>
    <row r="235" spans="1:19" x14ac:dyDescent="0.25">
      <c r="A235" t="s">
        <v>382</v>
      </c>
      <c r="B235" t="s">
        <v>213</v>
      </c>
      <c r="C235" t="s">
        <v>654</v>
      </c>
      <c r="D235" s="2" t="s">
        <v>650</v>
      </c>
      <c r="E235" t="str">
        <f>_xlfn.XLOOKUP(B235,Laitetyypit!A:A,Laitetyypit!B:B,"ei")</f>
        <v>Thingsee BEAM</v>
      </c>
      <c r="F235" t="s">
        <v>659</v>
      </c>
      <c r="G235" s="3">
        <v>0.94</v>
      </c>
      <c r="H235" s="2">
        <v>46164.538391203707</v>
      </c>
      <c r="L235">
        <v>112079206</v>
      </c>
      <c r="M235" t="s">
        <v>624</v>
      </c>
      <c r="N235" t="s">
        <v>827</v>
      </c>
      <c r="O235" t="s">
        <v>676</v>
      </c>
      <c r="P235" s="1" t="s">
        <v>669</v>
      </c>
      <c r="Q235">
        <v>1</v>
      </c>
      <c r="R235" t="s">
        <v>670</v>
      </c>
      <c r="S235" t="s">
        <v>676</v>
      </c>
    </row>
    <row r="236" spans="1:19" x14ac:dyDescent="0.25">
      <c r="A236" t="s">
        <v>301</v>
      </c>
      <c r="B236" t="s">
        <v>213</v>
      </c>
      <c r="C236" t="s">
        <v>654</v>
      </c>
      <c r="D236" s="2" t="s">
        <v>650</v>
      </c>
      <c r="E236" t="str">
        <f>_xlfn.XLOOKUP(B236,Laitetyypit!A:A,Laitetyypit!B:B,"ei")</f>
        <v>Thingsee BEAM</v>
      </c>
      <c r="F236" t="s">
        <v>659</v>
      </c>
      <c r="G236" s="3">
        <v>0.94</v>
      </c>
      <c r="H236" s="2">
        <v>46164.536099537036</v>
      </c>
      <c r="L236">
        <v>112079207</v>
      </c>
      <c r="M236" t="s">
        <v>625</v>
      </c>
      <c r="N236" t="s">
        <v>827</v>
      </c>
      <c r="O236" t="s">
        <v>675</v>
      </c>
      <c r="P236" s="1" t="s">
        <v>669</v>
      </c>
      <c r="Q236">
        <v>1</v>
      </c>
      <c r="R236" t="s">
        <v>670</v>
      </c>
      <c r="S236" t="s">
        <v>675</v>
      </c>
    </row>
    <row r="237" spans="1:19" x14ac:dyDescent="0.25">
      <c r="A237" t="s">
        <v>210</v>
      </c>
      <c r="B237" t="s">
        <v>3</v>
      </c>
      <c r="C237" t="s">
        <v>654</v>
      </c>
      <c r="D237" s="2" t="s">
        <v>650</v>
      </c>
      <c r="E237" t="str">
        <f>_xlfn.XLOOKUP(B237,Laitetyypit!A:A,Laitetyypit!B:B,"ei")</f>
        <v>Thingsee PRESENCE</v>
      </c>
      <c r="F237" t="s">
        <v>659</v>
      </c>
      <c r="G237" s="3">
        <v>0.96</v>
      </c>
      <c r="H237" s="2">
        <v>46164.554548611108</v>
      </c>
      <c r="L237">
        <v>112079208</v>
      </c>
      <c r="M237" t="s">
        <v>626</v>
      </c>
      <c r="N237" t="s">
        <v>827</v>
      </c>
      <c r="O237" t="s">
        <v>677</v>
      </c>
      <c r="P237" s="1" t="s">
        <v>665</v>
      </c>
      <c r="Q237">
        <v>2</v>
      </c>
      <c r="R237" t="s">
        <v>670</v>
      </c>
      <c r="S237" t="s">
        <v>677</v>
      </c>
    </row>
    <row r="238" spans="1:19" x14ac:dyDescent="0.25">
      <c r="A238" t="s">
        <v>244</v>
      </c>
      <c r="B238" t="s">
        <v>367</v>
      </c>
      <c r="C238" t="s">
        <v>654</v>
      </c>
      <c r="D238" s="2" t="s">
        <v>650</v>
      </c>
      <c r="E238" t="str">
        <f>_xlfn.XLOOKUP(B238,Laitetyypit!A:A,Laitetyypit!B:B,"ei")</f>
        <v>Thingsee PRESENCE</v>
      </c>
      <c r="F238" t="s">
        <v>659</v>
      </c>
      <c r="G238" s="3">
        <v>0.88</v>
      </c>
      <c r="H238" s="2">
        <v>46164.556145833332</v>
      </c>
      <c r="L238">
        <v>112079211</v>
      </c>
      <c r="M238" t="s">
        <v>627</v>
      </c>
      <c r="N238" t="s">
        <v>827</v>
      </c>
      <c r="O238" t="s">
        <v>678</v>
      </c>
      <c r="P238" s="1" t="s">
        <v>667</v>
      </c>
      <c r="Q238">
        <v>1</v>
      </c>
      <c r="R238" t="s">
        <v>670</v>
      </c>
      <c r="S238" t="s">
        <v>678</v>
      </c>
    </row>
    <row r="239" spans="1:19" x14ac:dyDescent="0.25">
      <c r="A239" t="s">
        <v>243</v>
      </c>
      <c r="B239" t="s">
        <v>367</v>
      </c>
      <c r="C239" t="s">
        <v>654</v>
      </c>
      <c r="D239" s="2" t="s">
        <v>650</v>
      </c>
      <c r="E239" t="str">
        <f>_xlfn.XLOOKUP(B239,Laitetyypit!A:A,Laitetyypit!B:B,"ei")</f>
        <v>Thingsee PRESENCE</v>
      </c>
      <c r="F239" t="s">
        <v>659</v>
      </c>
      <c r="G239" s="3">
        <v>0.88</v>
      </c>
      <c r="H239" s="2">
        <v>46164.555752314816</v>
      </c>
      <c r="L239">
        <v>112079212</v>
      </c>
      <c r="M239" t="s">
        <v>628</v>
      </c>
      <c r="N239" t="s">
        <v>827</v>
      </c>
      <c r="O239" t="s">
        <v>678</v>
      </c>
      <c r="P239" s="1" t="s">
        <v>667</v>
      </c>
      <c r="Q239">
        <v>1</v>
      </c>
      <c r="R239" t="s">
        <v>670</v>
      </c>
      <c r="S239" t="s">
        <v>678</v>
      </c>
    </row>
    <row r="240" spans="1:19" x14ac:dyDescent="0.25">
      <c r="A240" t="s">
        <v>342</v>
      </c>
      <c r="B240" t="s">
        <v>213</v>
      </c>
      <c r="C240" t="s">
        <v>654</v>
      </c>
      <c r="D240" s="2" t="s">
        <v>650</v>
      </c>
      <c r="E240" t="str">
        <f>_xlfn.XLOOKUP(B240,Laitetyypit!A:A,Laitetyypit!B:B,"ei")</f>
        <v>Thingsee BEAM</v>
      </c>
      <c r="F240" t="s">
        <v>659</v>
      </c>
      <c r="G240" s="3">
        <v>0.86</v>
      </c>
      <c r="H240" s="2">
        <v>46164.543182870373</v>
      </c>
      <c r="L240">
        <v>112079213</v>
      </c>
      <c r="M240" t="s">
        <v>629</v>
      </c>
      <c r="N240" t="s">
        <v>827</v>
      </c>
      <c r="O240" t="s">
        <v>678</v>
      </c>
      <c r="P240" s="1" t="s">
        <v>668</v>
      </c>
      <c r="Q240">
        <v>1</v>
      </c>
      <c r="R240" t="s">
        <v>670</v>
      </c>
      <c r="S240" t="s">
        <v>678</v>
      </c>
    </row>
    <row r="241" spans="1:19" x14ac:dyDescent="0.25">
      <c r="A241" t="s">
        <v>245</v>
      </c>
      <c r="B241" t="s">
        <v>213</v>
      </c>
      <c r="C241" t="s">
        <v>654</v>
      </c>
      <c r="D241" s="2" t="s">
        <v>650</v>
      </c>
      <c r="E241" t="str">
        <f>_xlfn.XLOOKUP(B241,Laitetyypit!A:A,Laitetyypit!B:B,"ei")</f>
        <v>Thingsee BEAM</v>
      </c>
      <c r="F241" t="s">
        <v>659</v>
      </c>
      <c r="G241" s="3">
        <v>0.86</v>
      </c>
      <c r="H241" s="2">
        <v>46164.556018518517</v>
      </c>
      <c r="L241">
        <v>112079214</v>
      </c>
      <c r="M241" t="s">
        <v>630</v>
      </c>
      <c r="N241" t="s">
        <v>827</v>
      </c>
      <c r="O241" t="s">
        <v>678</v>
      </c>
      <c r="P241" s="1" t="s">
        <v>668</v>
      </c>
      <c r="Q241">
        <v>1</v>
      </c>
      <c r="R241" t="s">
        <v>670</v>
      </c>
      <c r="S241" t="s">
        <v>678</v>
      </c>
    </row>
    <row r="242" spans="1:19" x14ac:dyDescent="0.25">
      <c r="A242" t="s">
        <v>247</v>
      </c>
      <c r="B242" t="s">
        <v>213</v>
      </c>
      <c r="C242" t="s">
        <v>654</v>
      </c>
      <c r="D242" s="2" t="s">
        <v>650</v>
      </c>
      <c r="E242" t="str">
        <f>_xlfn.XLOOKUP(B242,Laitetyypit!A:A,Laitetyypit!B:B,"ei")</f>
        <v>Thingsee BEAM</v>
      </c>
      <c r="F242" t="s">
        <v>659</v>
      </c>
      <c r="G242" s="3">
        <v>0.88</v>
      </c>
      <c r="H242" s="2">
        <v>44791.242812500001</v>
      </c>
      <c r="L242">
        <v>112079215</v>
      </c>
      <c r="M242" t="s">
        <v>631</v>
      </c>
      <c r="N242" t="s">
        <v>827</v>
      </c>
      <c r="O242" t="s">
        <v>678</v>
      </c>
      <c r="P242" s="1" t="s">
        <v>668</v>
      </c>
      <c r="Q242">
        <v>1</v>
      </c>
      <c r="R242" t="s">
        <v>670</v>
      </c>
      <c r="S242" t="s">
        <v>678</v>
      </c>
    </row>
    <row r="243" spans="1:19" x14ac:dyDescent="0.25">
      <c r="A243" t="s">
        <v>378</v>
      </c>
      <c r="B243" t="s">
        <v>213</v>
      </c>
      <c r="C243" t="s">
        <v>654</v>
      </c>
      <c r="D243" s="2" t="s">
        <v>650</v>
      </c>
      <c r="E243" t="str">
        <f>_xlfn.XLOOKUP(B243,Laitetyypit!A:A,Laitetyypit!B:B,"ei")</f>
        <v>Thingsee BEAM</v>
      </c>
      <c r="F243" t="s">
        <v>659</v>
      </c>
      <c r="G243" s="3">
        <v>0.93</v>
      </c>
      <c r="H243" s="2">
        <v>46164.553136574075</v>
      </c>
      <c r="L243">
        <v>112079216</v>
      </c>
      <c r="M243" t="s">
        <v>632</v>
      </c>
      <c r="N243" t="s">
        <v>827</v>
      </c>
      <c r="O243" t="s">
        <v>678</v>
      </c>
      <c r="P243" s="1" t="s">
        <v>668</v>
      </c>
      <c r="Q243">
        <v>1</v>
      </c>
      <c r="R243" t="s">
        <v>670</v>
      </c>
      <c r="S243" t="s">
        <v>678</v>
      </c>
    </row>
    <row r="244" spans="1:19" x14ac:dyDescent="0.25">
      <c r="A244" t="s">
        <v>355</v>
      </c>
      <c r="B244" t="s">
        <v>213</v>
      </c>
      <c r="C244" t="s">
        <v>654</v>
      </c>
      <c r="D244" s="2" t="s">
        <v>650</v>
      </c>
      <c r="E244" t="str">
        <f>_xlfn.XLOOKUP(B244,Laitetyypit!A:A,Laitetyypit!B:B,"ei")</f>
        <v>Thingsee BEAM</v>
      </c>
      <c r="F244" t="s">
        <v>659</v>
      </c>
      <c r="G244" s="3">
        <v>0.95</v>
      </c>
      <c r="H244" s="2">
        <v>46164.532430555555</v>
      </c>
      <c r="L244">
        <v>112079217</v>
      </c>
      <c r="M244" t="s">
        <v>633</v>
      </c>
      <c r="N244" t="s">
        <v>827</v>
      </c>
      <c r="O244" t="s">
        <v>678</v>
      </c>
      <c r="P244" s="1" t="s">
        <v>668</v>
      </c>
      <c r="Q244">
        <v>1</v>
      </c>
      <c r="R244" t="s">
        <v>670</v>
      </c>
      <c r="S244" t="s">
        <v>678</v>
      </c>
    </row>
    <row r="245" spans="1:19" x14ac:dyDescent="0.25">
      <c r="A245" t="s">
        <v>353</v>
      </c>
      <c r="B245" t="s">
        <v>213</v>
      </c>
      <c r="C245" t="s">
        <v>654</v>
      </c>
      <c r="D245" s="2" t="s">
        <v>650</v>
      </c>
      <c r="E245" t="str">
        <f>_xlfn.XLOOKUP(B245,Laitetyypit!A:A,Laitetyypit!B:B,"ei")</f>
        <v>Thingsee BEAM</v>
      </c>
      <c r="F245" t="s">
        <v>659</v>
      </c>
      <c r="G245" s="3">
        <v>0.61</v>
      </c>
      <c r="H245" s="2">
        <v>46164.55097222222</v>
      </c>
      <c r="L245">
        <v>112079218</v>
      </c>
      <c r="M245" t="s">
        <v>634</v>
      </c>
      <c r="N245" t="s">
        <v>827</v>
      </c>
      <c r="O245" t="s">
        <v>678</v>
      </c>
      <c r="P245" s="1" t="s">
        <v>668</v>
      </c>
      <c r="Q245">
        <v>1</v>
      </c>
      <c r="R245" t="s">
        <v>670</v>
      </c>
      <c r="S245" t="s">
        <v>678</v>
      </c>
    </row>
    <row r="246" spans="1:19" x14ac:dyDescent="0.25">
      <c r="A246" t="s">
        <v>249</v>
      </c>
      <c r="B246" t="s">
        <v>213</v>
      </c>
      <c r="C246" t="s">
        <v>654</v>
      </c>
      <c r="D246" s="2" t="s">
        <v>650</v>
      </c>
      <c r="E246" t="str">
        <f>_xlfn.XLOOKUP(B246,Laitetyypit!A:A,Laitetyypit!B:B,"ei")</f>
        <v>Thingsee BEAM</v>
      </c>
      <c r="F246" t="s">
        <v>659</v>
      </c>
      <c r="G246" s="3">
        <v>0.95</v>
      </c>
      <c r="H246" s="2">
        <v>46164.528796296298</v>
      </c>
      <c r="L246">
        <v>112079219</v>
      </c>
      <c r="M246" t="s">
        <v>635</v>
      </c>
      <c r="N246" t="s">
        <v>827</v>
      </c>
      <c r="O246" t="s">
        <v>678</v>
      </c>
      <c r="P246" s="1" t="s">
        <v>668</v>
      </c>
      <c r="Q246">
        <v>1</v>
      </c>
      <c r="R246" t="s">
        <v>670</v>
      </c>
      <c r="S246" t="s">
        <v>678</v>
      </c>
    </row>
    <row r="247" spans="1:19" x14ac:dyDescent="0.25">
      <c r="A247" t="s">
        <v>248</v>
      </c>
      <c r="B247" t="s">
        <v>213</v>
      </c>
      <c r="C247" t="s">
        <v>654</v>
      </c>
      <c r="D247" s="2" t="s">
        <v>650</v>
      </c>
      <c r="E247" t="str">
        <f>_xlfn.XLOOKUP(B247,Laitetyypit!A:A,Laitetyypit!B:B,"ei")</f>
        <v>Thingsee BEAM</v>
      </c>
      <c r="F247" t="s">
        <v>659</v>
      </c>
      <c r="G247" s="3">
        <v>0.92</v>
      </c>
      <c r="H247" s="2">
        <v>46164.548275462963</v>
      </c>
      <c r="L247">
        <v>112079220</v>
      </c>
      <c r="M247" t="s">
        <v>636</v>
      </c>
      <c r="N247" t="s">
        <v>827</v>
      </c>
      <c r="O247" t="s">
        <v>678</v>
      </c>
      <c r="P247" s="1" t="s">
        <v>668</v>
      </c>
      <c r="Q247">
        <v>1</v>
      </c>
      <c r="R247" t="s">
        <v>670</v>
      </c>
      <c r="S247" t="s">
        <v>678</v>
      </c>
    </row>
    <row r="248" spans="1:19" x14ac:dyDescent="0.25">
      <c r="A248" t="s">
        <v>370</v>
      </c>
      <c r="B248" t="s">
        <v>213</v>
      </c>
      <c r="C248" t="s">
        <v>654</v>
      </c>
      <c r="D248" s="2" t="s">
        <v>650</v>
      </c>
      <c r="E248" t="str">
        <f>_xlfn.XLOOKUP(B248,Laitetyypit!A:A,Laitetyypit!B:B,"ei")</f>
        <v>Thingsee BEAM</v>
      </c>
      <c r="F248" t="s">
        <v>659</v>
      </c>
      <c r="G248" s="3">
        <v>0.95</v>
      </c>
      <c r="H248" s="2">
        <v>46164.54828703704</v>
      </c>
      <c r="L248">
        <v>112079221</v>
      </c>
      <c r="M248" t="s">
        <v>637</v>
      </c>
      <c r="N248" t="s">
        <v>827</v>
      </c>
      <c r="O248" t="s">
        <v>678</v>
      </c>
      <c r="P248" s="1" t="s">
        <v>668</v>
      </c>
      <c r="Q248">
        <v>1</v>
      </c>
      <c r="R248" t="s">
        <v>670</v>
      </c>
      <c r="S248" t="s">
        <v>678</v>
      </c>
    </row>
    <row r="249" spans="1:19" x14ac:dyDescent="0.25">
      <c r="A249" t="s">
        <v>251</v>
      </c>
      <c r="B249" t="s">
        <v>367</v>
      </c>
      <c r="C249" t="s">
        <v>654</v>
      </c>
      <c r="D249" s="2" t="s">
        <v>650</v>
      </c>
      <c r="E249" t="str">
        <f>_xlfn.XLOOKUP(B249,Laitetyypit!A:A,Laitetyypit!B:B,"ei")</f>
        <v>Thingsee PRESENCE</v>
      </c>
      <c r="F249" t="s">
        <v>659</v>
      </c>
      <c r="G249" s="3">
        <v>0.89</v>
      </c>
      <c r="H249" s="2">
        <v>46164.555902777778</v>
      </c>
      <c r="L249">
        <v>112079223</v>
      </c>
      <c r="M249" t="s">
        <v>638</v>
      </c>
      <c r="N249" t="s">
        <v>827</v>
      </c>
      <c r="O249" t="s">
        <v>679</v>
      </c>
      <c r="P249" s="1" t="s">
        <v>667</v>
      </c>
      <c r="Q249">
        <v>1</v>
      </c>
      <c r="R249" t="s">
        <v>670</v>
      </c>
      <c r="S249" t="s">
        <v>679</v>
      </c>
    </row>
    <row r="250" spans="1:19" x14ac:dyDescent="0.25">
      <c r="A250" t="s">
        <v>250</v>
      </c>
      <c r="B250" t="s">
        <v>367</v>
      </c>
      <c r="C250" t="s">
        <v>654</v>
      </c>
      <c r="D250" s="2" t="s">
        <v>650</v>
      </c>
      <c r="E250" t="str">
        <f>_xlfn.XLOOKUP(B250,Laitetyypit!A:A,Laitetyypit!B:B,"ei")</f>
        <v>Thingsee PRESENCE</v>
      </c>
      <c r="F250" t="s">
        <v>659</v>
      </c>
      <c r="G250" s="3">
        <v>0.89</v>
      </c>
      <c r="H250" s="2">
        <v>46164.553113425929</v>
      </c>
      <c r="L250">
        <v>112079224</v>
      </c>
      <c r="M250" t="s">
        <v>680</v>
      </c>
      <c r="N250" t="s">
        <v>827</v>
      </c>
      <c r="O250" t="s">
        <v>679</v>
      </c>
      <c r="P250" s="1" t="s">
        <v>667</v>
      </c>
      <c r="Q250">
        <v>1</v>
      </c>
      <c r="R250" t="s">
        <v>670</v>
      </c>
      <c r="S250" t="s">
        <v>679</v>
      </c>
    </row>
    <row r="251" spans="1:19" x14ac:dyDescent="0.25">
      <c r="A251" t="s">
        <v>252</v>
      </c>
      <c r="B251" t="s">
        <v>213</v>
      </c>
      <c r="C251" t="s">
        <v>654</v>
      </c>
      <c r="D251" s="2" t="s">
        <v>650</v>
      </c>
      <c r="E251" t="str">
        <f>_xlfn.XLOOKUP(B251,Laitetyypit!A:A,Laitetyypit!B:B,"ei")</f>
        <v>Thingsee BEAM</v>
      </c>
      <c r="F251" t="s">
        <v>659</v>
      </c>
      <c r="G251" s="3">
        <v>0.95</v>
      </c>
      <c r="H251" s="2">
        <v>46164.537349537037</v>
      </c>
      <c r="L251">
        <v>112079225</v>
      </c>
      <c r="M251" t="s">
        <v>681</v>
      </c>
      <c r="N251" t="s">
        <v>827</v>
      </c>
      <c r="O251" t="s">
        <v>679</v>
      </c>
      <c r="P251" s="1" t="s">
        <v>668</v>
      </c>
      <c r="Q251">
        <v>1</v>
      </c>
      <c r="R251" t="s">
        <v>670</v>
      </c>
      <c r="S251" t="s">
        <v>679</v>
      </c>
    </row>
    <row r="252" spans="1:19" x14ac:dyDescent="0.25">
      <c r="A252" t="s">
        <v>257</v>
      </c>
      <c r="B252" t="s">
        <v>213</v>
      </c>
      <c r="C252" t="s">
        <v>654</v>
      </c>
      <c r="D252" s="2" t="s">
        <v>650</v>
      </c>
      <c r="E252" t="str">
        <f>_xlfn.XLOOKUP(B252,Laitetyypit!A:A,Laitetyypit!B:B,"ei")</f>
        <v>Thingsee BEAM</v>
      </c>
      <c r="F252" t="s">
        <v>659</v>
      </c>
      <c r="G252" s="3">
        <v>0.92</v>
      </c>
      <c r="H252" s="2">
        <v>46164.540358796294</v>
      </c>
      <c r="L252">
        <v>112079226</v>
      </c>
      <c r="M252" t="s">
        <v>682</v>
      </c>
      <c r="N252" t="s">
        <v>827</v>
      </c>
      <c r="O252" t="s">
        <v>679</v>
      </c>
      <c r="P252" s="1" t="s">
        <v>668</v>
      </c>
      <c r="Q252">
        <v>1</v>
      </c>
      <c r="R252" t="s">
        <v>670</v>
      </c>
      <c r="S252" t="s">
        <v>679</v>
      </c>
    </row>
    <row r="253" spans="1:19" x14ac:dyDescent="0.25">
      <c r="A253" t="s">
        <v>354</v>
      </c>
      <c r="B253" t="s">
        <v>213</v>
      </c>
      <c r="C253" t="s">
        <v>654</v>
      </c>
      <c r="D253" s="2" t="s">
        <v>650</v>
      </c>
      <c r="E253" t="str">
        <f>_xlfn.XLOOKUP(B253,Laitetyypit!A:A,Laitetyypit!B:B,"ei")</f>
        <v>Thingsee BEAM</v>
      </c>
      <c r="F253" t="s">
        <v>659</v>
      </c>
      <c r="G253" s="3">
        <v>0.94</v>
      </c>
      <c r="H253" s="2">
        <v>46164.545069444444</v>
      </c>
      <c r="L253">
        <v>112079227</v>
      </c>
      <c r="M253" t="s">
        <v>683</v>
      </c>
      <c r="N253" t="s">
        <v>827</v>
      </c>
      <c r="O253" t="s">
        <v>679</v>
      </c>
      <c r="P253" s="1" t="s">
        <v>668</v>
      </c>
      <c r="Q253">
        <v>1</v>
      </c>
      <c r="R253" t="s">
        <v>670</v>
      </c>
      <c r="S253" t="s">
        <v>679</v>
      </c>
    </row>
    <row r="254" spans="1:19" x14ac:dyDescent="0.25">
      <c r="A254" t="s">
        <v>352</v>
      </c>
      <c r="B254" t="s">
        <v>213</v>
      </c>
      <c r="C254" t="s">
        <v>654</v>
      </c>
      <c r="D254" s="2" t="s">
        <v>650</v>
      </c>
      <c r="E254" t="str">
        <f>_xlfn.XLOOKUP(B254,Laitetyypit!A:A,Laitetyypit!B:B,"ei")</f>
        <v>Thingsee BEAM</v>
      </c>
      <c r="F254" t="s">
        <v>659</v>
      </c>
      <c r="G254" s="3">
        <v>0.59</v>
      </c>
      <c r="H254" s="2">
        <v>46164.540983796294</v>
      </c>
      <c r="L254">
        <v>112079228</v>
      </c>
      <c r="M254" t="s">
        <v>684</v>
      </c>
      <c r="N254" t="s">
        <v>827</v>
      </c>
      <c r="O254" t="s">
        <v>679</v>
      </c>
      <c r="P254" s="1" t="s">
        <v>668</v>
      </c>
      <c r="Q254">
        <v>1</v>
      </c>
      <c r="R254" t="s">
        <v>670</v>
      </c>
      <c r="S254" t="s">
        <v>679</v>
      </c>
    </row>
    <row r="255" spans="1:19" x14ac:dyDescent="0.25">
      <c r="A255" t="s">
        <v>345</v>
      </c>
      <c r="B255" t="s">
        <v>213</v>
      </c>
      <c r="C255" t="s">
        <v>654</v>
      </c>
      <c r="D255" s="2" t="s">
        <v>650</v>
      </c>
      <c r="E255" t="str">
        <f>_xlfn.XLOOKUP(B255,Laitetyypit!A:A,Laitetyypit!B:B,"ei")</f>
        <v>Thingsee BEAM</v>
      </c>
      <c r="F255" t="s">
        <v>659</v>
      </c>
      <c r="G255" s="3">
        <v>0.94</v>
      </c>
      <c r="H255" s="2">
        <v>46164.542326388888</v>
      </c>
      <c r="L255">
        <v>112079230</v>
      </c>
      <c r="M255" t="s">
        <v>685</v>
      </c>
      <c r="N255" t="s">
        <v>827</v>
      </c>
      <c r="O255" t="s">
        <v>679</v>
      </c>
      <c r="P255" s="1" t="s">
        <v>668</v>
      </c>
      <c r="Q255">
        <v>1</v>
      </c>
      <c r="R255" t="s">
        <v>670</v>
      </c>
      <c r="S255" t="s">
        <v>679</v>
      </c>
    </row>
    <row r="256" spans="1:19" x14ac:dyDescent="0.25">
      <c r="A256" t="s">
        <v>256</v>
      </c>
      <c r="B256" t="s">
        <v>213</v>
      </c>
      <c r="C256" t="s">
        <v>654</v>
      </c>
      <c r="D256" s="2" t="s">
        <v>650</v>
      </c>
      <c r="E256" t="str">
        <f>_xlfn.XLOOKUP(B256,Laitetyypit!A:A,Laitetyypit!B:B,"ei")</f>
        <v>Thingsee BEAM</v>
      </c>
      <c r="F256" t="s">
        <v>659</v>
      </c>
      <c r="G256" s="3">
        <v>0.67</v>
      </c>
      <c r="H256" s="2">
        <v>46157.470219907409</v>
      </c>
      <c r="L256">
        <v>112079231</v>
      </c>
      <c r="M256" t="s">
        <v>686</v>
      </c>
      <c r="N256" t="s">
        <v>827</v>
      </c>
      <c r="O256" t="s">
        <v>679</v>
      </c>
      <c r="P256" s="1" t="s">
        <v>668</v>
      </c>
      <c r="Q256">
        <v>1</v>
      </c>
      <c r="R256" t="s">
        <v>670</v>
      </c>
      <c r="S256" t="s">
        <v>679</v>
      </c>
    </row>
    <row r="257" spans="1:19" x14ac:dyDescent="0.25">
      <c r="A257" t="s">
        <v>377</v>
      </c>
      <c r="B257" t="s">
        <v>213</v>
      </c>
      <c r="C257" t="s">
        <v>654</v>
      </c>
      <c r="D257" s="2" t="s">
        <v>650</v>
      </c>
      <c r="E257" t="str">
        <f>_xlfn.XLOOKUP(B257,Laitetyypit!A:A,Laitetyypit!B:B,"ei")</f>
        <v>Thingsee BEAM</v>
      </c>
      <c r="F257" t="s">
        <v>659</v>
      </c>
      <c r="G257" s="3">
        <v>0.95</v>
      </c>
      <c r="H257" s="2">
        <v>46164.552881944444</v>
      </c>
      <c r="L257">
        <v>112079232</v>
      </c>
      <c r="M257" t="s">
        <v>687</v>
      </c>
      <c r="N257" t="s">
        <v>827</v>
      </c>
      <c r="O257" t="s">
        <v>679</v>
      </c>
      <c r="P257" s="1" t="s">
        <v>668</v>
      </c>
      <c r="Q257">
        <v>1</v>
      </c>
      <c r="R257" t="s">
        <v>670</v>
      </c>
      <c r="S257" t="s">
        <v>679</v>
      </c>
    </row>
    <row r="258" spans="1:19" x14ac:dyDescent="0.25">
      <c r="A258" t="s">
        <v>344</v>
      </c>
      <c r="B258" t="s">
        <v>213</v>
      </c>
      <c r="C258" t="s">
        <v>654</v>
      </c>
      <c r="D258" s="2" t="s">
        <v>650</v>
      </c>
      <c r="E258" t="str">
        <f>_xlfn.XLOOKUP(B258,Laitetyypit!A:A,Laitetyypit!B:B,"ei")</f>
        <v>Thingsee BEAM</v>
      </c>
      <c r="F258" t="s">
        <v>659</v>
      </c>
      <c r="G258" s="3">
        <v>0.94</v>
      </c>
      <c r="H258" s="2">
        <v>46164.536990740744</v>
      </c>
      <c r="L258">
        <v>112079233</v>
      </c>
      <c r="M258" t="s">
        <v>688</v>
      </c>
      <c r="N258" t="s">
        <v>827</v>
      </c>
      <c r="O258" t="s">
        <v>679</v>
      </c>
      <c r="P258" s="1" t="s">
        <v>668</v>
      </c>
      <c r="Q258">
        <v>1</v>
      </c>
      <c r="R258" t="s">
        <v>670</v>
      </c>
      <c r="S258" t="s">
        <v>679</v>
      </c>
    </row>
    <row r="259" spans="1:19" x14ac:dyDescent="0.25">
      <c r="A259" t="s">
        <v>298</v>
      </c>
      <c r="B259" t="s">
        <v>213</v>
      </c>
      <c r="C259" t="s">
        <v>654</v>
      </c>
      <c r="D259" s="2" t="s">
        <v>650</v>
      </c>
      <c r="E259" t="str">
        <f>_xlfn.XLOOKUP(B259,Laitetyypit!A:A,Laitetyypit!B:B,"ei")</f>
        <v>Thingsee BEAM</v>
      </c>
      <c r="F259" t="s">
        <v>659</v>
      </c>
      <c r="G259" s="3">
        <v>0.93</v>
      </c>
      <c r="H259" s="2">
        <v>46164.537106481483</v>
      </c>
      <c r="L259">
        <v>112079234</v>
      </c>
      <c r="M259" t="s">
        <v>689</v>
      </c>
      <c r="N259" t="s">
        <v>827</v>
      </c>
      <c r="O259" t="s">
        <v>679</v>
      </c>
      <c r="P259" s="1" t="s">
        <v>668</v>
      </c>
      <c r="Q259">
        <v>1</v>
      </c>
      <c r="R259" t="s">
        <v>670</v>
      </c>
      <c r="S259" t="s">
        <v>679</v>
      </c>
    </row>
    <row r="260" spans="1:19" x14ac:dyDescent="0.25">
      <c r="A260" t="s">
        <v>379</v>
      </c>
      <c r="B260" t="s">
        <v>367</v>
      </c>
      <c r="C260" t="s">
        <v>654</v>
      </c>
      <c r="D260" s="2" t="s">
        <v>650</v>
      </c>
      <c r="E260" t="str">
        <f>_xlfn.XLOOKUP(B260,Laitetyypit!A:A,Laitetyypit!B:B,"ei")</f>
        <v>Thingsee PRESENCE</v>
      </c>
      <c r="F260" t="s">
        <v>659</v>
      </c>
      <c r="G260" s="3">
        <v>0.95</v>
      </c>
      <c r="H260" s="2">
        <v>46164.555613425924</v>
      </c>
      <c r="L260">
        <v>112079235</v>
      </c>
      <c r="M260" t="s">
        <v>690</v>
      </c>
      <c r="N260" t="s">
        <v>827</v>
      </c>
      <c r="O260" t="s">
        <v>691</v>
      </c>
      <c r="P260" s="1" t="s">
        <v>667</v>
      </c>
      <c r="Q260">
        <v>1</v>
      </c>
      <c r="R260" t="s">
        <v>670</v>
      </c>
      <c r="S260" t="s">
        <v>691</v>
      </c>
    </row>
    <row r="261" spans="1:19" x14ac:dyDescent="0.25">
      <c r="A261" t="s">
        <v>254</v>
      </c>
      <c r="B261" t="s">
        <v>213</v>
      </c>
      <c r="C261" t="s">
        <v>654</v>
      </c>
      <c r="D261" s="2" t="s">
        <v>650</v>
      </c>
      <c r="E261" t="str">
        <f>_xlfn.XLOOKUP(B261,Laitetyypit!A:A,Laitetyypit!B:B,"ei")</f>
        <v>Thingsee BEAM</v>
      </c>
      <c r="F261" t="s">
        <v>659</v>
      </c>
      <c r="G261" s="3">
        <v>0.95</v>
      </c>
      <c r="H261" s="2">
        <v>46164.555451388886</v>
      </c>
      <c r="L261">
        <v>112079236</v>
      </c>
      <c r="M261" t="s">
        <v>692</v>
      </c>
      <c r="N261" t="s">
        <v>827</v>
      </c>
      <c r="O261" t="s">
        <v>691</v>
      </c>
      <c r="P261" s="1" t="s">
        <v>668</v>
      </c>
      <c r="Q261">
        <v>1</v>
      </c>
      <c r="R261" t="s">
        <v>670</v>
      </c>
      <c r="S261" t="s">
        <v>691</v>
      </c>
    </row>
    <row r="262" spans="1:19" x14ac:dyDescent="0.25">
      <c r="A262" t="s">
        <v>371</v>
      </c>
      <c r="B262" t="s">
        <v>213</v>
      </c>
      <c r="C262" t="s">
        <v>654</v>
      </c>
      <c r="D262" s="2" t="s">
        <v>650</v>
      </c>
      <c r="E262" t="str">
        <f>_xlfn.XLOOKUP(B262,Laitetyypit!A:A,Laitetyypit!B:B,"ei")</f>
        <v>Thingsee BEAM</v>
      </c>
      <c r="F262" t="s">
        <v>659</v>
      </c>
      <c r="G262" s="3">
        <v>0.94</v>
      </c>
      <c r="H262" s="2">
        <v>46164.551215277781</v>
      </c>
      <c r="L262">
        <v>112079238</v>
      </c>
      <c r="M262" t="s">
        <v>693</v>
      </c>
      <c r="N262" t="s">
        <v>827</v>
      </c>
      <c r="O262" t="s">
        <v>691</v>
      </c>
      <c r="P262" s="1" t="s">
        <v>668</v>
      </c>
      <c r="Q262">
        <v>1</v>
      </c>
      <c r="R262" t="s">
        <v>670</v>
      </c>
      <c r="S262" t="s">
        <v>691</v>
      </c>
    </row>
    <row r="263" spans="1:19" x14ac:dyDescent="0.25">
      <c r="A263" t="s">
        <v>372</v>
      </c>
      <c r="B263" t="s">
        <v>213</v>
      </c>
      <c r="C263" t="s">
        <v>654</v>
      </c>
      <c r="D263" s="2" t="s">
        <v>650</v>
      </c>
      <c r="E263" t="str">
        <f>_xlfn.XLOOKUP(B263,Laitetyypit!A:A,Laitetyypit!B:B,"ei")</f>
        <v>Thingsee BEAM</v>
      </c>
      <c r="F263" t="s">
        <v>659</v>
      </c>
      <c r="G263" s="3">
        <v>0.93</v>
      </c>
      <c r="H263" s="2">
        <v>46164.552905092591</v>
      </c>
      <c r="L263">
        <v>112079239</v>
      </c>
      <c r="M263" t="s">
        <v>694</v>
      </c>
      <c r="N263" t="s">
        <v>827</v>
      </c>
      <c r="O263" t="s">
        <v>691</v>
      </c>
      <c r="P263" s="1" t="s">
        <v>668</v>
      </c>
      <c r="Q263">
        <v>1</v>
      </c>
      <c r="R263" t="s">
        <v>670</v>
      </c>
      <c r="S263" t="s">
        <v>691</v>
      </c>
    </row>
    <row r="264" spans="1:19" x14ac:dyDescent="0.25">
      <c r="A264" t="s">
        <v>255</v>
      </c>
      <c r="B264" t="s">
        <v>213</v>
      </c>
      <c r="C264" t="s">
        <v>654</v>
      </c>
      <c r="D264" s="2" t="s">
        <v>650</v>
      </c>
      <c r="E264" t="str">
        <f>_xlfn.XLOOKUP(B264,Laitetyypit!A:A,Laitetyypit!B:B,"ei")</f>
        <v>Thingsee BEAM</v>
      </c>
      <c r="F264" t="s">
        <v>659</v>
      </c>
      <c r="G264" s="3">
        <v>0.94</v>
      </c>
      <c r="H264" s="2">
        <v>46164.555694444447</v>
      </c>
      <c r="L264">
        <v>112079240</v>
      </c>
      <c r="M264" t="s">
        <v>695</v>
      </c>
      <c r="N264" t="s">
        <v>827</v>
      </c>
      <c r="O264" t="s">
        <v>691</v>
      </c>
      <c r="P264" s="1" t="s">
        <v>668</v>
      </c>
      <c r="Q264">
        <v>1</v>
      </c>
      <c r="R264" t="s">
        <v>670</v>
      </c>
      <c r="S264" t="s">
        <v>691</v>
      </c>
    </row>
    <row r="265" spans="1:19" x14ac:dyDescent="0.25">
      <c r="A265" t="s">
        <v>264</v>
      </c>
      <c r="B265" t="s">
        <v>213</v>
      </c>
      <c r="C265" t="s">
        <v>654</v>
      </c>
      <c r="D265" s="2" t="s">
        <v>650</v>
      </c>
      <c r="E265" t="str">
        <f>_xlfn.XLOOKUP(B265,Laitetyypit!A:A,Laitetyypit!B:B,"ei")</f>
        <v>Thingsee BEAM</v>
      </c>
      <c r="F265" t="s">
        <v>659</v>
      </c>
      <c r="G265" s="3">
        <v>0.86</v>
      </c>
      <c r="H265" s="2">
        <v>46164.536539351851</v>
      </c>
      <c r="L265">
        <v>112079243</v>
      </c>
      <c r="M265" t="s">
        <v>696</v>
      </c>
      <c r="N265" t="s">
        <v>827</v>
      </c>
      <c r="O265" t="s">
        <v>672</v>
      </c>
      <c r="P265" s="1" t="s">
        <v>668</v>
      </c>
      <c r="Q265">
        <v>1</v>
      </c>
      <c r="R265" t="s">
        <v>670</v>
      </c>
      <c r="S265" t="s">
        <v>672</v>
      </c>
    </row>
    <row r="266" spans="1:19" x14ac:dyDescent="0.25">
      <c r="A266" t="s">
        <v>259</v>
      </c>
      <c r="B266" t="s">
        <v>367</v>
      </c>
      <c r="C266" t="s">
        <v>654</v>
      </c>
      <c r="D266" s="2" t="s">
        <v>650</v>
      </c>
      <c r="E266" t="str">
        <f>_xlfn.XLOOKUP(B266,Laitetyypit!A:A,Laitetyypit!B:B,"ei")</f>
        <v>Thingsee PRESENCE</v>
      </c>
      <c r="F266" t="s">
        <v>659</v>
      </c>
      <c r="G266" s="3">
        <v>0.87</v>
      </c>
      <c r="H266" s="2">
        <v>46164.555706018517</v>
      </c>
      <c r="L266">
        <v>112079244</v>
      </c>
      <c r="M266" t="s">
        <v>697</v>
      </c>
      <c r="N266" t="s">
        <v>827</v>
      </c>
      <c r="O266" t="s">
        <v>672</v>
      </c>
      <c r="P266" s="1" t="s">
        <v>667</v>
      </c>
      <c r="Q266">
        <v>1</v>
      </c>
      <c r="R266" t="s">
        <v>670</v>
      </c>
      <c r="S266" t="s">
        <v>672</v>
      </c>
    </row>
    <row r="267" spans="1:19" x14ac:dyDescent="0.25">
      <c r="A267" t="s">
        <v>258</v>
      </c>
      <c r="B267" t="s">
        <v>367</v>
      </c>
      <c r="C267" t="s">
        <v>654</v>
      </c>
      <c r="D267" s="2" t="s">
        <v>650</v>
      </c>
      <c r="E267" t="str">
        <f>_xlfn.XLOOKUP(B267,Laitetyypit!A:A,Laitetyypit!B:B,"ei")</f>
        <v>Thingsee PRESENCE</v>
      </c>
      <c r="F267" t="s">
        <v>659</v>
      </c>
      <c r="G267" s="3">
        <v>0.87</v>
      </c>
      <c r="H267" s="2">
        <v>46164.555289351854</v>
      </c>
      <c r="L267">
        <v>112079245</v>
      </c>
      <c r="M267" t="s">
        <v>698</v>
      </c>
      <c r="N267" t="s">
        <v>827</v>
      </c>
      <c r="O267" t="s">
        <v>672</v>
      </c>
      <c r="P267" s="1" t="s">
        <v>667</v>
      </c>
      <c r="Q267">
        <v>1</v>
      </c>
      <c r="R267" t="s">
        <v>670</v>
      </c>
      <c r="S267" t="s">
        <v>672</v>
      </c>
    </row>
    <row r="268" spans="1:19" x14ac:dyDescent="0.25">
      <c r="A268" t="s">
        <v>364</v>
      </c>
      <c r="B268" t="s">
        <v>213</v>
      </c>
      <c r="C268" t="s">
        <v>654</v>
      </c>
      <c r="D268" s="2" t="s">
        <v>650</v>
      </c>
      <c r="E268" t="str">
        <f>_xlfn.XLOOKUP(B268,Laitetyypit!A:A,Laitetyypit!B:B,"ei")</f>
        <v>Thingsee BEAM</v>
      </c>
      <c r="F268" t="s">
        <v>659</v>
      </c>
      <c r="G268" s="3">
        <v>0.95</v>
      </c>
      <c r="H268" s="2">
        <v>46164.528831018521</v>
      </c>
      <c r="L268">
        <v>112079246</v>
      </c>
      <c r="M268" t="s">
        <v>699</v>
      </c>
      <c r="N268" t="s">
        <v>827</v>
      </c>
      <c r="O268" t="s">
        <v>672</v>
      </c>
      <c r="P268" s="1" t="s">
        <v>668</v>
      </c>
      <c r="Q268">
        <v>1</v>
      </c>
      <c r="R268" t="s">
        <v>670</v>
      </c>
      <c r="S268" t="s">
        <v>672</v>
      </c>
    </row>
    <row r="269" spans="1:19" x14ac:dyDescent="0.25">
      <c r="A269" t="s">
        <v>263</v>
      </c>
      <c r="B269" t="s">
        <v>213</v>
      </c>
      <c r="C269" t="s">
        <v>654</v>
      </c>
      <c r="D269" s="2" t="s">
        <v>650</v>
      </c>
      <c r="E269" t="str">
        <f>_xlfn.XLOOKUP(B269,Laitetyypit!A:A,Laitetyypit!B:B,"ei")</f>
        <v>Thingsee BEAM</v>
      </c>
      <c r="F269" t="s">
        <v>659</v>
      </c>
      <c r="G269" s="3">
        <v>0.85</v>
      </c>
      <c r="H269" s="2">
        <v>46164.516064814816</v>
      </c>
      <c r="L269">
        <v>112079247</v>
      </c>
      <c r="M269" t="s">
        <v>700</v>
      </c>
      <c r="N269" t="s">
        <v>827</v>
      </c>
      <c r="O269" t="s">
        <v>672</v>
      </c>
      <c r="P269" s="1" t="s">
        <v>668</v>
      </c>
      <c r="Q269">
        <v>1</v>
      </c>
      <c r="R269" t="s">
        <v>670</v>
      </c>
      <c r="S269" t="s">
        <v>672</v>
      </c>
    </row>
    <row r="270" spans="1:19" x14ac:dyDescent="0.25">
      <c r="A270" t="s">
        <v>261</v>
      </c>
      <c r="B270" t="s">
        <v>213</v>
      </c>
      <c r="C270" t="s">
        <v>654</v>
      </c>
      <c r="D270" s="2" t="s">
        <v>650</v>
      </c>
      <c r="E270" t="str">
        <f>_xlfn.XLOOKUP(B270,Laitetyypit!A:A,Laitetyypit!B:B,"ei")</f>
        <v>Thingsee BEAM</v>
      </c>
      <c r="F270" t="s">
        <v>659</v>
      </c>
      <c r="G270" s="3">
        <v>0.9</v>
      </c>
      <c r="H270" s="2">
        <v>46164.546712962961</v>
      </c>
      <c r="L270">
        <v>112079249</v>
      </c>
      <c r="M270" t="s">
        <v>701</v>
      </c>
      <c r="N270" t="s">
        <v>827</v>
      </c>
      <c r="O270" t="s">
        <v>672</v>
      </c>
      <c r="P270" s="1" t="s">
        <v>668</v>
      </c>
      <c r="Q270">
        <v>1</v>
      </c>
      <c r="R270" t="s">
        <v>670</v>
      </c>
      <c r="S270" t="s">
        <v>672</v>
      </c>
    </row>
    <row r="271" spans="1:19" x14ac:dyDescent="0.25">
      <c r="A271" t="s">
        <v>346</v>
      </c>
      <c r="B271" t="s">
        <v>213</v>
      </c>
      <c r="C271" t="s">
        <v>654</v>
      </c>
      <c r="D271" s="2" t="s">
        <v>650</v>
      </c>
      <c r="E271" t="str">
        <f>_xlfn.XLOOKUP(B271,Laitetyypit!A:A,Laitetyypit!B:B,"ei")</f>
        <v>Thingsee BEAM</v>
      </c>
      <c r="F271" t="s">
        <v>659</v>
      </c>
      <c r="G271" s="3">
        <v>0.6</v>
      </c>
      <c r="H271" s="2">
        <v>46092.489618055559</v>
      </c>
      <c r="L271">
        <v>112079250</v>
      </c>
      <c r="M271" t="s">
        <v>702</v>
      </c>
      <c r="N271" t="s">
        <v>827</v>
      </c>
      <c r="O271" t="s">
        <v>672</v>
      </c>
      <c r="P271" s="1" t="s">
        <v>668</v>
      </c>
      <c r="Q271">
        <v>1</v>
      </c>
      <c r="R271" t="s">
        <v>670</v>
      </c>
      <c r="S271" t="s">
        <v>672</v>
      </c>
    </row>
    <row r="272" spans="1:19" x14ac:dyDescent="0.25">
      <c r="A272" t="s">
        <v>262</v>
      </c>
      <c r="B272" t="s">
        <v>213</v>
      </c>
      <c r="C272" t="s">
        <v>654</v>
      </c>
      <c r="D272" s="2" t="s">
        <v>650</v>
      </c>
      <c r="E272" t="str">
        <f>_xlfn.XLOOKUP(B272,Laitetyypit!A:A,Laitetyypit!B:B,"ei")</f>
        <v>Thingsee BEAM</v>
      </c>
      <c r="F272" t="s">
        <v>659</v>
      </c>
      <c r="G272" s="3">
        <v>0.93</v>
      </c>
      <c r="H272" s="2">
        <v>46164.531724537039</v>
      </c>
      <c r="L272">
        <v>112079251</v>
      </c>
      <c r="M272" t="s">
        <v>703</v>
      </c>
      <c r="N272" t="s">
        <v>827</v>
      </c>
      <c r="O272" t="s">
        <v>672</v>
      </c>
      <c r="P272" s="1" t="s">
        <v>668</v>
      </c>
      <c r="Q272">
        <v>1</v>
      </c>
      <c r="R272" t="s">
        <v>670</v>
      </c>
      <c r="S272" t="s">
        <v>672</v>
      </c>
    </row>
    <row r="273" spans="1:19" x14ac:dyDescent="0.25">
      <c r="A273" t="s">
        <v>365</v>
      </c>
      <c r="B273" t="s">
        <v>213</v>
      </c>
      <c r="C273" t="s">
        <v>654</v>
      </c>
      <c r="D273" s="2" t="s">
        <v>650</v>
      </c>
      <c r="E273" t="str">
        <f>_xlfn.XLOOKUP(B273,Laitetyypit!A:A,Laitetyypit!B:B,"ei")</f>
        <v>Thingsee BEAM</v>
      </c>
      <c r="F273" t="s">
        <v>659</v>
      </c>
      <c r="G273" s="3">
        <v>0.95</v>
      </c>
      <c r="H273" s="2">
        <v>46164.546261574076</v>
      </c>
      <c r="L273">
        <v>112079252</v>
      </c>
      <c r="M273" t="s">
        <v>704</v>
      </c>
      <c r="N273" t="s">
        <v>827</v>
      </c>
      <c r="O273" t="s">
        <v>672</v>
      </c>
      <c r="P273" s="1" t="s">
        <v>668</v>
      </c>
      <c r="Q273">
        <v>1</v>
      </c>
      <c r="R273" t="s">
        <v>670</v>
      </c>
      <c r="S273" t="s">
        <v>672</v>
      </c>
    </row>
    <row r="274" spans="1:19" x14ac:dyDescent="0.25">
      <c r="A274" t="s">
        <v>347</v>
      </c>
      <c r="B274" t="s">
        <v>213</v>
      </c>
      <c r="C274" t="s">
        <v>654</v>
      </c>
      <c r="D274" s="2" t="s">
        <v>650</v>
      </c>
      <c r="E274" t="str">
        <f>_xlfn.XLOOKUP(B274,Laitetyypit!A:A,Laitetyypit!B:B,"ei")</f>
        <v>Thingsee BEAM</v>
      </c>
      <c r="F274" t="s">
        <v>659</v>
      </c>
      <c r="G274" s="3">
        <v>0.92</v>
      </c>
      <c r="H274" s="2">
        <v>46164.536782407406</v>
      </c>
      <c r="L274">
        <v>112079253</v>
      </c>
      <c r="M274" t="s">
        <v>705</v>
      </c>
      <c r="N274" t="s">
        <v>827</v>
      </c>
      <c r="O274" t="s">
        <v>672</v>
      </c>
      <c r="P274" s="1" t="s">
        <v>668</v>
      </c>
      <c r="Q274">
        <v>1</v>
      </c>
      <c r="R274" t="s">
        <v>670</v>
      </c>
      <c r="S274" t="s">
        <v>672</v>
      </c>
    </row>
    <row r="275" spans="1:19" x14ac:dyDescent="0.25">
      <c r="A275" t="s">
        <v>260</v>
      </c>
      <c r="B275" t="s">
        <v>213</v>
      </c>
      <c r="C275" t="s">
        <v>654</v>
      </c>
      <c r="D275" s="2" t="s">
        <v>650</v>
      </c>
      <c r="E275" t="str">
        <f>_xlfn.XLOOKUP(B275,Laitetyypit!A:A,Laitetyypit!B:B,"ei")</f>
        <v>Thingsee BEAM</v>
      </c>
      <c r="F275" t="s">
        <v>659</v>
      </c>
      <c r="G275" s="3">
        <v>0.92</v>
      </c>
      <c r="H275" s="2">
        <v>46164.544351851851</v>
      </c>
      <c r="L275">
        <v>112079255</v>
      </c>
      <c r="M275" t="s">
        <v>706</v>
      </c>
      <c r="N275" t="s">
        <v>827</v>
      </c>
      <c r="O275" t="s">
        <v>672</v>
      </c>
      <c r="P275" s="1" t="s">
        <v>668</v>
      </c>
      <c r="Q275">
        <v>1</v>
      </c>
      <c r="R275" t="s">
        <v>670</v>
      </c>
      <c r="S275" t="s">
        <v>672</v>
      </c>
    </row>
    <row r="276" spans="1:19" x14ac:dyDescent="0.25">
      <c r="A276" t="s">
        <v>373</v>
      </c>
      <c r="B276" t="s">
        <v>213</v>
      </c>
      <c r="C276" t="s">
        <v>654</v>
      </c>
      <c r="D276" s="2" t="s">
        <v>650</v>
      </c>
      <c r="E276" t="str">
        <f>_xlfn.XLOOKUP(B276,Laitetyypit!A:A,Laitetyypit!B:B,"ei")</f>
        <v>Thingsee BEAM</v>
      </c>
      <c r="F276" t="s">
        <v>659</v>
      </c>
      <c r="G276" s="3">
        <v>0.93</v>
      </c>
      <c r="H276" s="2">
        <v>46164.547939814816</v>
      </c>
      <c r="L276">
        <v>112079257</v>
      </c>
      <c r="M276" t="s">
        <v>707</v>
      </c>
      <c r="N276" t="s">
        <v>827</v>
      </c>
      <c r="O276" t="s">
        <v>673</v>
      </c>
      <c r="P276" s="1" t="s">
        <v>668</v>
      </c>
      <c r="Q276">
        <v>1</v>
      </c>
      <c r="R276" t="s">
        <v>670</v>
      </c>
      <c r="S276" t="s">
        <v>673</v>
      </c>
    </row>
    <row r="277" spans="1:19" x14ac:dyDescent="0.25">
      <c r="A277" t="s">
        <v>269</v>
      </c>
      <c r="B277" t="s">
        <v>213</v>
      </c>
      <c r="C277" t="s">
        <v>654</v>
      </c>
      <c r="D277" s="2" t="s">
        <v>650</v>
      </c>
      <c r="E277" t="str">
        <f>_xlfn.XLOOKUP(B277,Laitetyypit!A:A,Laitetyypit!B:B,"ei")</f>
        <v>Thingsee BEAM</v>
      </c>
      <c r="F277" t="s">
        <v>659</v>
      </c>
      <c r="G277" s="3">
        <v>0.94</v>
      </c>
      <c r="H277" s="2">
        <v>46164.526192129626</v>
      </c>
      <c r="L277">
        <v>112079258</v>
      </c>
      <c r="M277" t="s">
        <v>708</v>
      </c>
      <c r="N277" t="s">
        <v>827</v>
      </c>
      <c r="O277" t="s">
        <v>673</v>
      </c>
      <c r="P277" s="1" t="s">
        <v>668</v>
      </c>
      <c r="Q277">
        <v>1</v>
      </c>
      <c r="R277" t="s">
        <v>670</v>
      </c>
      <c r="S277" t="s">
        <v>673</v>
      </c>
    </row>
    <row r="278" spans="1:19" x14ac:dyDescent="0.25">
      <c r="A278" t="s">
        <v>270</v>
      </c>
      <c r="B278" t="s">
        <v>213</v>
      </c>
      <c r="C278" t="s">
        <v>654</v>
      </c>
      <c r="D278" s="2" t="s">
        <v>650</v>
      </c>
      <c r="E278" t="str">
        <f>_xlfn.XLOOKUP(B278,Laitetyypit!A:A,Laitetyypit!B:B,"ei")</f>
        <v>Thingsee BEAM</v>
      </c>
      <c r="F278" t="s">
        <v>659</v>
      </c>
      <c r="G278" s="3">
        <v>0.94</v>
      </c>
      <c r="H278" s="2">
        <v>46164.544282407405</v>
      </c>
      <c r="L278">
        <v>112079259</v>
      </c>
      <c r="M278" t="s">
        <v>709</v>
      </c>
      <c r="N278" t="s">
        <v>827</v>
      </c>
      <c r="O278" t="s">
        <v>673</v>
      </c>
      <c r="P278" s="1" t="s">
        <v>668</v>
      </c>
      <c r="Q278">
        <v>1</v>
      </c>
      <c r="R278" t="s">
        <v>670</v>
      </c>
      <c r="S278" t="s">
        <v>673</v>
      </c>
    </row>
    <row r="279" spans="1:19" x14ac:dyDescent="0.25">
      <c r="A279" t="s">
        <v>271</v>
      </c>
      <c r="B279" t="s">
        <v>213</v>
      </c>
      <c r="C279" t="s">
        <v>654</v>
      </c>
      <c r="D279" s="2" t="s">
        <v>650</v>
      </c>
      <c r="E279" t="str">
        <f>_xlfn.XLOOKUP(B279,Laitetyypit!A:A,Laitetyypit!B:B,"ei")</f>
        <v>Thingsee BEAM</v>
      </c>
      <c r="F279" t="s">
        <v>659</v>
      </c>
      <c r="G279" s="3">
        <v>0.95</v>
      </c>
      <c r="H279" s="2">
        <v>46164.553819444445</v>
      </c>
      <c r="L279">
        <v>112079260</v>
      </c>
      <c r="M279" t="s">
        <v>710</v>
      </c>
      <c r="N279" t="s">
        <v>827</v>
      </c>
      <c r="O279" t="s">
        <v>673</v>
      </c>
      <c r="P279" s="1" t="s">
        <v>668</v>
      </c>
      <c r="Q279">
        <v>1</v>
      </c>
      <c r="R279" t="s">
        <v>670</v>
      </c>
      <c r="S279" t="s">
        <v>673</v>
      </c>
    </row>
    <row r="280" spans="1:19" x14ac:dyDescent="0.25">
      <c r="A280" t="s">
        <v>268</v>
      </c>
      <c r="B280" t="s">
        <v>213</v>
      </c>
      <c r="C280" t="s">
        <v>654</v>
      </c>
      <c r="D280" s="2" t="s">
        <v>650</v>
      </c>
      <c r="E280" t="str">
        <f>_xlfn.XLOOKUP(B280,Laitetyypit!A:A,Laitetyypit!B:B,"ei")</f>
        <v>Thingsee BEAM</v>
      </c>
      <c r="F280" t="s">
        <v>659</v>
      </c>
      <c r="G280" s="3">
        <v>0.94</v>
      </c>
      <c r="H280" s="2">
        <v>46164.543888888889</v>
      </c>
      <c r="L280">
        <v>112079261</v>
      </c>
      <c r="M280" t="s">
        <v>711</v>
      </c>
      <c r="N280" t="s">
        <v>827</v>
      </c>
      <c r="O280" t="s">
        <v>673</v>
      </c>
      <c r="P280" s="1" t="s">
        <v>668</v>
      </c>
      <c r="Q280">
        <v>1</v>
      </c>
      <c r="R280" t="s">
        <v>670</v>
      </c>
      <c r="S280" t="s">
        <v>673</v>
      </c>
    </row>
    <row r="281" spans="1:19" x14ac:dyDescent="0.25">
      <c r="A281" t="s">
        <v>266</v>
      </c>
      <c r="B281" t="s">
        <v>213</v>
      </c>
      <c r="C281" t="s">
        <v>654</v>
      </c>
      <c r="D281" s="2" t="s">
        <v>650</v>
      </c>
      <c r="E281" t="str">
        <f>_xlfn.XLOOKUP(B281,Laitetyypit!A:A,Laitetyypit!B:B,"ei")</f>
        <v>Thingsee BEAM</v>
      </c>
      <c r="F281" t="s">
        <v>659</v>
      </c>
      <c r="G281" s="3">
        <v>0.93</v>
      </c>
      <c r="H281" s="2">
        <v>46164.553298611114</v>
      </c>
      <c r="L281">
        <v>112079262</v>
      </c>
      <c r="M281" t="s">
        <v>712</v>
      </c>
      <c r="N281" t="s">
        <v>827</v>
      </c>
      <c r="O281" t="s">
        <v>673</v>
      </c>
      <c r="P281" s="1" t="s">
        <v>668</v>
      </c>
      <c r="Q281">
        <v>1</v>
      </c>
      <c r="R281" t="s">
        <v>670</v>
      </c>
      <c r="S281" t="s">
        <v>673</v>
      </c>
    </row>
    <row r="282" spans="1:19" x14ac:dyDescent="0.25">
      <c r="A282" t="s">
        <v>277</v>
      </c>
      <c r="B282" t="s">
        <v>213</v>
      </c>
      <c r="C282" t="s">
        <v>654</v>
      </c>
      <c r="D282" s="2" t="s">
        <v>650</v>
      </c>
      <c r="E282" t="str">
        <f>_xlfn.XLOOKUP(B282,Laitetyypit!A:A,Laitetyypit!B:B,"ei")</f>
        <v>Thingsee BEAM</v>
      </c>
      <c r="F282" t="s">
        <v>659</v>
      </c>
      <c r="G282" s="3">
        <v>0.94</v>
      </c>
      <c r="H282" s="2">
        <v>46164.553194444445</v>
      </c>
      <c r="L282">
        <v>112079263</v>
      </c>
      <c r="M282" t="s">
        <v>713</v>
      </c>
      <c r="N282" t="s">
        <v>827</v>
      </c>
      <c r="O282" t="s">
        <v>673</v>
      </c>
      <c r="P282" s="1" t="s">
        <v>668</v>
      </c>
      <c r="Q282">
        <v>1</v>
      </c>
      <c r="R282" t="s">
        <v>670</v>
      </c>
      <c r="S282" t="s">
        <v>673</v>
      </c>
    </row>
    <row r="283" spans="1:19" x14ac:dyDescent="0.25">
      <c r="A283" t="s">
        <v>273</v>
      </c>
      <c r="B283" t="s">
        <v>213</v>
      </c>
      <c r="C283" t="s">
        <v>654</v>
      </c>
      <c r="D283" s="2" t="s">
        <v>650</v>
      </c>
      <c r="E283" t="str">
        <f>_xlfn.XLOOKUP(B283,Laitetyypit!A:A,Laitetyypit!B:B,"ei")</f>
        <v>Thingsee BEAM</v>
      </c>
      <c r="F283" t="s">
        <v>659</v>
      </c>
      <c r="G283" s="3">
        <v>0.84</v>
      </c>
      <c r="H283" s="2">
        <v>46164.554918981485</v>
      </c>
      <c r="L283">
        <v>112079264</v>
      </c>
      <c r="M283" t="s">
        <v>714</v>
      </c>
      <c r="N283" t="s">
        <v>827</v>
      </c>
      <c r="O283" t="s">
        <v>673</v>
      </c>
      <c r="P283" s="1" t="s">
        <v>668</v>
      </c>
      <c r="Q283">
        <v>1</v>
      </c>
      <c r="R283" t="s">
        <v>670</v>
      </c>
      <c r="S283" t="s">
        <v>673</v>
      </c>
    </row>
    <row r="284" spans="1:19" x14ac:dyDescent="0.25">
      <c r="A284" t="s">
        <v>272</v>
      </c>
      <c r="B284" t="s">
        <v>213</v>
      </c>
      <c r="C284" t="s">
        <v>654</v>
      </c>
      <c r="D284" s="2" t="s">
        <v>650</v>
      </c>
      <c r="E284" t="str">
        <f>_xlfn.XLOOKUP(B284,Laitetyypit!A:A,Laitetyypit!B:B,"ei")</f>
        <v>Thingsee BEAM</v>
      </c>
      <c r="F284" t="s">
        <v>659</v>
      </c>
      <c r="G284" s="3">
        <v>0</v>
      </c>
      <c r="H284" s="2">
        <v>45793.392407407409</v>
      </c>
      <c r="L284">
        <v>112079265</v>
      </c>
      <c r="M284" t="s">
        <v>715</v>
      </c>
      <c r="N284" t="s">
        <v>827</v>
      </c>
      <c r="O284" t="s">
        <v>673</v>
      </c>
      <c r="P284" s="1" t="s">
        <v>668</v>
      </c>
      <c r="Q284">
        <v>1</v>
      </c>
      <c r="R284" t="s">
        <v>670</v>
      </c>
      <c r="S284" t="s">
        <v>673</v>
      </c>
    </row>
    <row r="285" spans="1:19" x14ac:dyDescent="0.25">
      <c r="A285" t="s">
        <v>274</v>
      </c>
      <c r="B285" t="s">
        <v>213</v>
      </c>
      <c r="C285" t="s">
        <v>654</v>
      </c>
      <c r="D285" s="2" t="s">
        <v>650</v>
      </c>
      <c r="E285" t="str">
        <f>_xlfn.XLOOKUP(B285,Laitetyypit!A:A,Laitetyypit!B:B,"ei")</f>
        <v>Thingsee BEAM</v>
      </c>
      <c r="F285" t="s">
        <v>659</v>
      </c>
      <c r="G285" s="3">
        <v>0.95</v>
      </c>
      <c r="H285" s="2">
        <v>46164.552986111114</v>
      </c>
      <c r="L285">
        <v>112079266</v>
      </c>
      <c r="M285" t="s">
        <v>716</v>
      </c>
      <c r="N285" t="s">
        <v>827</v>
      </c>
      <c r="O285" t="s">
        <v>673</v>
      </c>
      <c r="P285" s="1" t="s">
        <v>668</v>
      </c>
      <c r="Q285">
        <v>1</v>
      </c>
      <c r="R285" t="s">
        <v>670</v>
      </c>
      <c r="S285" t="s">
        <v>673</v>
      </c>
    </row>
    <row r="286" spans="1:19" x14ac:dyDescent="0.25">
      <c r="A286" t="s">
        <v>275</v>
      </c>
      <c r="B286" t="s">
        <v>213</v>
      </c>
      <c r="C286" t="s">
        <v>654</v>
      </c>
      <c r="D286" s="2" t="s">
        <v>650</v>
      </c>
      <c r="E286" t="str">
        <f>_xlfn.XLOOKUP(B286,Laitetyypit!A:A,Laitetyypit!B:B,"ei")</f>
        <v>Thingsee BEAM</v>
      </c>
      <c r="F286" t="s">
        <v>659</v>
      </c>
      <c r="G286" s="3">
        <v>0.93</v>
      </c>
      <c r="H286" s="2">
        <v>46164.555775462963</v>
      </c>
      <c r="L286">
        <v>112079267</v>
      </c>
      <c r="M286" t="s">
        <v>717</v>
      </c>
      <c r="N286" t="s">
        <v>827</v>
      </c>
      <c r="O286" t="s">
        <v>673</v>
      </c>
      <c r="P286" s="1" t="s">
        <v>668</v>
      </c>
      <c r="Q286">
        <v>1</v>
      </c>
      <c r="R286" t="s">
        <v>670</v>
      </c>
      <c r="S286" t="s">
        <v>673</v>
      </c>
    </row>
    <row r="287" spans="1:19" x14ac:dyDescent="0.25">
      <c r="A287" t="s">
        <v>375</v>
      </c>
      <c r="B287" t="s">
        <v>213</v>
      </c>
      <c r="C287" t="s">
        <v>654</v>
      </c>
      <c r="D287" s="2" t="s">
        <v>650</v>
      </c>
      <c r="E287" t="str">
        <f>_xlfn.XLOOKUP(B287,Laitetyypit!A:A,Laitetyypit!B:B,"ei")</f>
        <v>Thingsee BEAM</v>
      </c>
      <c r="F287" t="s">
        <v>659</v>
      </c>
      <c r="G287" s="3">
        <v>0.94</v>
      </c>
      <c r="H287" s="2">
        <v>46164.537152777775</v>
      </c>
      <c r="L287">
        <v>112079268</v>
      </c>
      <c r="M287" t="s">
        <v>718</v>
      </c>
      <c r="N287" t="s">
        <v>827</v>
      </c>
      <c r="O287" t="s">
        <v>673</v>
      </c>
      <c r="P287" s="1" t="s">
        <v>668</v>
      </c>
      <c r="Q287">
        <v>1</v>
      </c>
      <c r="R287" t="s">
        <v>670</v>
      </c>
      <c r="S287" t="s">
        <v>673</v>
      </c>
    </row>
    <row r="288" spans="1:19" x14ac:dyDescent="0.25">
      <c r="A288" t="s">
        <v>279</v>
      </c>
      <c r="B288" t="s">
        <v>213</v>
      </c>
      <c r="C288" t="s">
        <v>654</v>
      </c>
      <c r="D288" s="2" t="s">
        <v>650</v>
      </c>
      <c r="E288" t="str">
        <f>_xlfn.XLOOKUP(B288,Laitetyypit!A:A,Laitetyypit!B:B,"ei")</f>
        <v>Thingsee BEAM</v>
      </c>
      <c r="F288" t="s">
        <v>659</v>
      </c>
      <c r="G288" s="3">
        <v>0.93</v>
      </c>
      <c r="H288" s="2">
        <v>46164.548344907409</v>
      </c>
      <c r="L288">
        <v>112079269</v>
      </c>
      <c r="M288" t="s">
        <v>719</v>
      </c>
      <c r="N288" t="s">
        <v>827</v>
      </c>
      <c r="O288" t="s">
        <v>674</v>
      </c>
      <c r="P288" s="1" t="s">
        <v>668</v>
      </c>
      <c r="Q288">
        <v>1</v>
      </c>
      <c r="R288" t="s">
        <v>670</v>
      </c>
      <c r="S288" t="s">
        <v>674</v>
      </c>
    </row>
    <row r="289" spans="1:19" x14ac:dyDescent="0.25">
      <c r="A289" t="s">
        <v>280</v>
      </c>
      <c r="B289" t="s">
        <v>213</v>
      </c>
      <c r="C289" t="s">
        <v>654</v>
      </c>
      <c r="D289" s="2" t="s">
        <v>650</v>
      </c>
      <c r="E289" t="str">
        <f>_xlfn.XLOOKUP(B289,Laitetyypit!A:A,Laitetyypit!B:B,"ei")</f>
        <v>Thingsee BEAM</v>
      </c>
      <c r="F289" t="s">
        <v>659</v>
      </c>
      <c r="G289" s="3">
        <v>0.94</v>
      </c>
      <c r="H289" s="2">
        <v>46164.539074074077</v>
      </c>
      <c r="L289">
        <v>112079270</v>
      </c>
      <c r="M289" t="s">
        <v>720</v>
      </c>
      <c r="N289" t="s">
        <v>827</v>
      </c>
      <c r="O289" t="s">
        <v>674</v>
      </c>
      <c r="P289" s="1" t="s">
        <v>668</v>
      </c>
      <c r="Q289">
        <v>1</v>
      </c>
      <c r="R289" t="s">
        <v>670</v>
      </c>
      <c r="S289" t="s">
        <v>674</v>
      </c>
    </row>
    <row r="290" spans="1:19" x14ac:dyDescent="0.25">
      <c r="A290" t="s">
        <v>283</v>
      </c>
      <c r="B290" t="s">
        <v>213</v>
      </c>
      <c r="C290" t="s">
        <v>654</v>
      </c>
      <c r="D290" s="2" t="s">
        <v>650</v>
      </c>
      <c r="E290" t="str">
        <f>_xlfn.XLOOKUP(B290,Laitetyypit!A:A,Laitetyypit!B:B,"ei")</f>
        <v>Thingsee BEAM</v>
      </c>
      <c r="F290" t="s">
        <v>659</v>
      </c>
      <c r="G290" s="3">
        <v>0.94</v>
      </c>
      <c r="H290" s="2">
        <v>46164.525092592594</v>
      </c>
      <c r="L290">
        <v>112079271</v>
      </c>
      <c r="M290" t="s">
        <v>721</v>
      </c>
      <c r="N290" t="s">
        <v>827</v>
      </c>
      <c r="O290" t="s">
        <v>674</v>
      </c>
      <c r="P290" s="1" t="s">
        <v>668</v>
      </c>
      <c r="Q290">
        <v>1</v>
      </c>
      <c r="R290" t="s">
        <v>670</v>
      </c>
      <c r="S290" t="s">
        <v>674</v>
      </c>
    </row>
    <row r="291" spans="1:19" x14ac:dyDescent="0.25">
      <c r="A291" t="s">
        <v>281</v>
      </c>
      <c r="B291" t="s">
        <v>213</v>
      </c>
      <c r="C291" t="s">
        <v>654</v>
      </c>
      <c r="D291" s="2" t="s">
        <v>650</v>
      </c>
      <c r="E291" t="str">
        <f>_xlfn.XLOOKUP(B291,Laitetyypit!A:A,Laitetyypit!B:B,"ei")</f>
        <v>Thingsee BEAM</v>
      </c>
      <c r="F291" t="s">
        <v>659</v>
      </c>
      <c r="G291" s="3">
        <v>0.93</v>
      </c>
      <c r="H291" s="2">
        <v>46164.548854166664</v>
      </c>
      <c r="L291">
        <v>112079272</v>
      </c>
      <c r="M291" t="s">
        <v>722</v>
      </c>
      <c r="N291" t="s">
        <v>827</v>
      </c>
      <c r="O291" t="s">
        <v>674</v>
      </c>
      <c r="P291" s="1" t="s">
        <v>668</v>
      </c>
      <c r="Q291">
        <v>1</v>
      </c>
      <c r="R291" t="s">
        <v>670</v>
      </c>
      <c r="S291" t="s">
        <v>674</v>
      </c>
    </row>
    <row r="292" spans="1:19" x14ac:dyDescent="0.25">
      <c r="A292" t="s">
        <v>282</v>
      </c>
      <c r="B292" t="s">
        <v>213</v>
      </c>
      <c r="C292" t="s">
        <v>654</v>
      </c>
      <c r="D292" s="2" t="s">
        <v>650</v>
      </c>
      <c r="E292" t="str">
        <f>_xlfn.XLOOKUP(B292,Laitetyypit!A:A,Laitetyypit!B:B,"ei")</f>
        <v>Thingsee BEAM</v>
      </c>
      <c r="F292" t="s">
        <v>659</v>
      </c>
      <c r="G292" s="3">
        <v>0.94</v>
      </c>
      <c r="H292" s="2">
        <v>46164.544918981483</v>
      </c>
      <c r="L292">
        <v>112079273</v>
      </c>
      <c r="M292" t="s">
        <v>723</v>
      </c>
      <c r="N292" t="s">
        <v>827</v>
      </c>
      <c r="O292" t="s">
        <v>674</v>
      </c>
      <c r="P292" s="1" t="s">
        <v>668</v>
      </c>
      <c r="Q292">
        <v>1</v>
      </c>
      <c r="R292" t="s">
        <v>670</v>
      </c>
      <c r="S292" t="s">
        <v>674</v>
      </c>
    </row>
    <row r="293" spans="1:19" x14ac:dyDescent="0.25">
      <c r="A293" t="s">
        <v>284</v>
      </c>
      <c r="B293" t="s">
        <v>213</v>
      </c>
      <c r="C293" t="s">
        <v>654</v>
      </c>
      <c r="D293" s="2" t="s">
        <v>650</v>
      </c>
      <c r="E293" t="str">
        <f>_xlfn.XLOOKUP(B293,Laitetyypit!A:A,Laitetyypit!B:B,"ei")</f>
        <v>Thingsee BEAM</v>
      </c>
      <c r="F293" t="s">
        <v>659</v>
      </c>
      <c r="G293" s="3">
        <v>0.95</v>
      </c>
      <c r="H293" s="2">
        <v>46164.533217592594</v>
      </c>
      <c r="L293">
        <v>112079274</v>
      </c>
      <c r="M293" t="s">
        <v>724</v>
      </c>
      <c r="N293" t="s">
        <v>827</v>
      </c>
      <c r="O293" t="s">
        <v>674</v>
      </c>
      <c r="P293" s="1" t="s">
        <v>668</v>
      </c>
      <c r="Q293">
        <v>1</v>
      </c>
      <c r="R293" t="s">
        <v>670</v>
      </c>
      <c r="S293" t="s">
        <v>674</v>
      </c>
    </row>
    <row r="294" spans="1:19" x14ac:dyDescent="0.25">
      <c r="A294" t="s">
        <v>265</v>
      </c>
      <c r="B294" t="s">
        <v>367</v>
      </c>
      <c r="C294" t="s">
        <v>654</v>
      </c>
      <c r="D294" s="2" t="s">
        <v>650</v>
      </c>
      <c r="E294" t="str">
        <f>_xlfn.XLOOKUP(B294,Laitetyypit!A:A,Laitetyypit!B:B,"ei")</f>
        <v>Thingsee PRESENCE</v>
      </c>
      <c r="F294" t="s">
        <v>659</v>
      </c>
      <c r="G294" s="3">
        <v>0.86</v>
      </c>
      <c r="H294" s="2">
        <v>46164.554629629631</v>
      </c>
      <c r="L294">
        <v>112079279</v>
      </c>
      <c r="M294" t="s">
        <v>725</v>
      </c>
      <c r="N294" t="s">
        <v>827</v>
      </c>
      <c r="O294" t="s">
        <v>672</v>
      </c>
      <c r="P294" s="1" t="s">
        <v>667</v>
      </c>
      <c r="Q294">
        <v>1</v>
      </c>
      <c r="R294" t="s">
        <v>670</v>
      </c>
      <c r="S294" t="s">
        <v>672</v>
      </c>
    </row>
    <row r="295" spans="1:19" x14ac:dyDescent="0.25">
      <c r="A295" t="s">
        <v>267</v>
      </c>
      <c r="B295" t="s">
        <v>367</v>
      </c>
      <c r="C295" t="s">
        <v>654</v>
      </c>
      <c r="D295" s="2" t="s">
        <v>650</v>
      </c>
      <c r="E295" t="str">
        <f>_xlfn.XLOOKUP(B295,Laitetyypit!A:A,Laitetyypit!B:B,"ei")</f>
        <v>Thingsee PRESENCE</v>
      </c>
      <c r="F295" t="s">
        <v>659</v>
      </c>
      <c r="G295" s="3">
        <v>0.96</v>
      </c>
      <c r="H295" s="2">
        <v>46164.556087962963</v>
      </c>
      <c r="L295">
        <v>112079280</v>
      </c>
      <c r="M295" t="s">
        <v>726</v>
      </c>
      <c r="N295" t="s">
        <v>827</v>
      </c>
      <c r="O295" t="s">
        <v>673</v>
      </c>
      <c r="P295" s="1" t="s">
        <v>667</v>
      </c>
      <c r="Q295">
        <v>1</v>
      </c>
      <c r="R295" t="s">
        <v>670</v>
      </c>
      <c r="S295" t="s">
        <v>673</v>
      </c>
    </row>
    <row r="296" spans="1:19" x14ac:dyDescent="0.25">
      <c r="A296" t="s">
        <v>276</v>
      </c>
      <c r="B296" t="s">
        <v>367</v>
      </c>
      <c r="C296" t="s">
        <v>654</v>
      </c>
      <c r="D296" s="2" t="s">
        <v>650</v>
      </c>
      <c r="E296" t="str">
        <f>_xlfn.XLOOKUP(B296,Laitetyypit!A:A,Laitetyypit!B:B,"ei")</f>
        <v>Thingsee PRESENCE</v>
      </c>
      <c r="F296" t="s">
        <v>659</v>
      </c>
      <c r="G296" s="3">
        <v>0.96</v>
      </c>
      <c r="H296" s="2">
        <v>46164.555706018517</v>
      </c>
      <c r="L296">
        <v>112079281</v>
      </c>
      <c r="M296" t="s">
        <v>727</v>
      </c>
      <c r="N296" t="s">
        <v>827</v>
      </c>
      <c r="O296" t="s">
        <v>673</v>
      </c>
      <c r="P296" s="1" t="s">
        <v>667</v>
      </c>
      <c r="Q296">
        <v>1</v>
      </c>
      <c r="R296" t="s">
        <v>670</v>
      </c>
      <c r="S296" t="s">
        <v>673</v>
      </c>
    </row>
    <row r="297" spans="1:19" x14ac:dyDescent="0.25">
      <c r="A297" t="s">
        <v>278</v>
      </c>
      <c r="B297" t="s">
        <v>367</v>
      </c>
      <c r="C297" t="s">
        <v>654</v>
      </c>
      <c r="D297" s="2" t="s">
        <v>650</v>
      </c>
      <c r="E297" t="str">
        <f>_xlfn.XLOOKUP(B297,Laitetyypit!A:A,Laitetyypit!B:B,"ei")</f>
        <v>Thingsee PRESENCE</v>
      </c>
      <c r="F297" t="s">
        <v>659</v>
      </c>
      <c r="G297" s="3">
        <v>0.96</v>
      </c>
      <c r="H297" s="2">
        <v>46164.555706018517</v>
      </c>
      <c r="L297">
        <v>112079282</v>
      </c>
      <c r="M297" t="s">
        <v>728</v>
      </c>
      <c r="N297" t="s">
        <v>827</v>
      </c>
      <c r="O297" t="s">
        <v>674</v>
      </c>
      <c r="P297" s="1" t="s">
        <v>667</v>
      </c>
      <c r="Q297">
        <v>1</v>
      </c>
      <c r="R297" t="s">
        <v>670</v>
      </c>
      <c r="S297" t="s">
        <v>674</v>
      </c>
    </row>
    <row r="298" spans="1:19" x14ac:dyDescent="0.25">
      <c r="A298" t="s">
        <v>288</v>
      </c>
      <c r="B298" t="s">
        <v>367</v>
      </c>
      <c r="C298" t="s">
        <v>654</v>
      </c>
      <c r="D298" s="2" t="s">
        <v>650</v>
      </c>
      <c r="E298" t="str">
        <f>_xlfn.XLOOKUP(B298,Laitetyypit!A:A,Laitetyypit!B:B,"ei")</f>
        <v>Thingsee PRESENCE</v>
      </c>
      <c r="F298" t="s">
        <v>659</v>
      </c>
      <c r="G298" s="3">
        <v>0.9</v>
      </c>
      <c r="H298" s="2">
        <v>46164.549490740741</v>
      </c>
      <c r="L298">
        <v>112079283</v>
      </c>
      <c r="M298" t="s">
        <v>729</v>
      </c>
      <c r="N298" t="s">
        <v>827</v>
      </c>
      <c r="O298" t="s">
        <v>730</v>
      </c>
      <c r="P298" s="1" t="s">
        <v>667</v>
      </c>
      <c r="Q298">
        <v>1</v>
      </c>
      <c r="R298" t="s">
        <v>670</v>
      </c>
      <c r="S298" t="s">
        <v>730</v>
      </c>
    </row>
    <row r="299" spans="1:19" x14ac:dyDescent="0.25">
      <c r="A299" t="s">
        <v>287</v>
      </c>
      <c r="B299" t="s">
        <v>367</v>
      </c>
      <c r="C299" t="s">
        <v>654</v>
      </c>
      <c r="D299" s="2" t="s">
        <v>650</v>
      </c>
      <c r="E299" t="str">
        <f>_xlfn.XLOOKUP(B299,Laitetyypit!A:A,Laitetyypit!B:B,"ei")</f>
        <v>Thingsee PRESENCE</v>
      </c>
      <c r="F299" t="s">
        <v>659</v>
      </c>
      <c r="G299" s="3">
        <v>0.91</v>
      </c>
      <c r="H299" s="2">
        <v>46164.555671296293</v>
      </c>
      <c r="L299">
        <v>112079284</v>
      </c>
      <c r="M299" t="s">
        <v>731</v>
      </c>
      <c r="N299" t="s">
        <v>827</v>
      </c>
      <c r="O299" t="s">
        <v>730</v>
      </c>
      <c r="P299" s="1" t="s">
        <v>667</v>
      </c>
      <c r="Q299">
        <v>1</v>
      </c>
      <c r="R299" t="s">
        <v>670</v>
      </c>
      <c r="S299" t="s">
        <v>730</v>
      </c>
    </row>
    <row r="300" spans="1:19" x14ac:dyDescent="0.25">
      <c r="A300" t="s">
        <v>285</v>
      </c>
      <c r="B300" t="s">
        <v>213</v>
      </c>
      <c r="C300" t="s">
        <v>654</v>
      </c>
      <c r="D300" s="2" t="s">
        <v>650</v>
      </c>
      <c r="E300" t="str">
        <f>_xlfn.XLOOKUP(B300,Laitetyypit!A:A,Laitetyypit!B:B,"ei")</f>
        <v>Thingsee BEAM</v>
      </c>
      <c r="F300" t="s">
        <v>659</v>
      </c>
      <c r="G300" s="3">
        <v>0.93</v>
      </c>
      <c r="H300" s="2">
        <v>46164.539942129632</v>
      </c>
      <c r="L300">
        <v>112079285</v>
      </c>
      <c r="M300" t="s">
        <v>732</v>
      </c>
      <c r="N300" t="s">
        <v>827</v>
      </c>
      <c r="O300" t="s">
        <v>730</v>
      </c>
      <c r="P300" s="1" t="s">
        <v>668</v>
      </c>
      <c r="Q300">
        <v>1</v>
      </c>
      <c r="R300" t="s">
        <v>670</v>
      </c>
      <c r="S300" t="s">
        <v>730</v>
      </c>
    </row>
    <row r="301" spans="1:19" x14ac:dyDescent="0.25">
      <c r="A301" t="s">
        <v>286</v>
      </c>
      <c r="B301" t="s">
        <v>213</v>
      </c>
      <c r="C301" t="s">
        <v>654</v>
      </c>
      <c r="D301" s="2" t="s">
        <v>650</v>
      </c>
      <c r="E301" t="str">
        <f>_xlfn.XLOOKUP(B301,Laitetyypit!A:A,Laitetyypit!B:B,"ei")</f>
        <v>Thingsee BEAM</v>
      </c>
      <c r="F301" t="s">
        <v>659</v>
      </c>
      <c r="G301" s="3">
        <v>0.92</v>
      </c>
      <c r="H301" s="2">
        <v>44672.385069444441</v>
      </c>
      <c r="L301">
        <v>112079287</v>
      </c>
      <c r="M301" t="s">
        <v>733</v>
      </c>
      <c r="N301" t="s">
        <v>827</v>
      </c>
      <c r="O301" t="s">
        <v>730</v>
      </c>
      <c r="P301" s="1" t="s">
        <v>668</v>
      </c>
      <c r="Q301">
        <v>1</v>
      </c>
      <c r="R301" t="s">
        <v>670</v>
      </c>
      <c r="S301" t="s">
        <v>730</v>
      </c>
    </row>
    <row r="302" spans="1:19" x14ac:dyDescent="0.25">
      <c r="A302" t="s">
        <v>289</v>
      </c>
      <c r="B302" t="s">
        <v>213</v>
      </c>
      <c r="C302" t="s">
        <v>654</v>
      </c>
      <c r="D302" s="2" t="s">
        <v>650</v>
      </c>
      <c r="E302" t="str">
        <f>_xlfn.XLOOKUP(B302,Laitetyypit!A:A,Laitetyypit!B:B,"ei")</f>
        <v>Thingsee BEAM</v>
      </c>
      <c r="F302" t="s">
        <v>659</v>
      </c>
      <c r="G302" s="3">
        <v>0.78</v>
      </c>
      <c r="H302" s="2">
        <v>44928.410532407404</v>
      </c>
      <c r="L302">
        <v>112079288</v>
      </c>
      <c r="M302" t="s">
        <v>734</v>
      </c>
      <c r="N302" t="s">
        <v>827</v>
      </c>
      <c r="O302" t="s">
        <v>730</v>
      </c>
      <c r="P302" s="1" t="s">
        <v>668</v>
      </c>
      <c r="Q302">
        <v>1</v>
      </c>
      <c r="R302" t="s">
        <v>670</v>
      </c>
      <c r="S302" t="s">
        <v>730</v>
      </c>
    </row>
    <row r="303" spans="1:19" x14ac:dyDescent="0.25">
      <c r="A303" t="s">
        <v>290</v>
      </c>
      <c r="B303" t="s">
        <v>213</v>
      </c>
      <c r="C303" t="s">
        <v>654</v>
      </c>
      <c r="D303" s="2" t="s">
        <v>650</v>
      </c>
      <c r="E303" t="str">
        <f>_xlfn.XLOOKUP(B303,Laitetyypit!A:A,Laitetyypit!B:B,"ei")</f>
        <v>Thingsee BEAM</v>
      </c>
      <c r="F303" t="s">
        <v>659</v>
      </c>
      <c r="G303" s="3">
        <v>0.91</v>
      </c>
      <c r="H303" s="2">
        <v>44673.635057870371</v>
      </c>
      <c r="L303">
        <v>112079289</v>
      </c>
      <c r="M303" t="s">
        <v>735</v>
      </c>
      <c r="N303" t="s">
        <v>827</v>
      </c>
      <c r="O303" t="s">
        <v>730</v>
      </c>
      <c r="P303" s="1" t="s">
        <v>668</v>
      </c>
      <c r="Q303">
        <v>1</v>
      </c>
      <c r="R303" t="s">
        <v>670</v>
      </c>
      <c r="S303" t="s">
        <v>730</v>
      </c>
    </row>
    <row r="304" spans="1:19" x14ac:dyDescent="0.25">
      <c r="A304" t="s">
        <v>291</v>
      </c>
      <c r="B304" t="s">
        <v>213</v>
      </c>
      <c r="C304" t="s">
        <v>654</v>
      </c>
      <c r="D304" s="2" t="s">
        <v>650</v>
      </c>
      <c r="E304" t="str">
        <f>_xlfn.XLOOKUP(B304,Laitetyypit!A:A,Laitetyypit!B:B,"ei")</f>
        <v>Thingsee BEAM</v>
      </c>
      <c r="F304" t="s">
        <v>659</v>
      </c>
      <c r="G304" s="3">
        <v>0.95</v>
      </c>
      <c r="H304" s="2">
        <v>46164.519988425927</v>
      </c>
      <c r="L304">
        <v>112079290</v>
      </c>
      <c r="M304" t="s">
        <v>736</v>
      </c>
      <c r="N304" t="s">
        <v>827</v>
      </c>
      <c r="O304" t="s">
        <v>730</v>
      </c>
      <c r="P304" s="1" t="s">
        <v>668</v>
      </c>
      <c r="Q304">
        <v>1</v>
      </c>
      <c r="R304" t="s">
        <v>670</v>
      </c>
      <c r="S304" t="s">
        <v>730</v>
      </c>
    </row>
    <row r="305" spans="1:19" x14ac:dyDescent="0.25">
      <c r="A305" t="s">
        <v>292</v>
      </c>
      <c r="B305" t="s">
        <v>213</v>
      </c>
      <c r="C305" t="s">
        <v>654</v>
      </c>
      <c r="D305" s="2" t="s">
        <v>650</v>
      </c>
      <c r="E305" t="str">
        <f>_xlfn.XLOOKUP(B305,Laitetyypit!A:A,Laitetyypit!B:B,"ei")</f>
        <v>Thingsee BEAM</v>
      </c>
      <c r="F305" t="s">
        <v>659</v>
      </c>
      <c r="G305" s="3">
        <v>0.95</v>
      </c>
      <c r="H305" s="2">
        <v>46164.550162037034</v>
      </c>
      <c r="L305">
        <v>112079291</v>
      </c>
      <c r="M305" t="s">
        <v>737</v>
      </c>
      <c r="N305" t="s">
        <v>827</v>
      </c>
      <c r="O305" t="s">
        <v>730</v>
      </c>
      <c r="P305" s="1" t="s">
        <v>668</v>
      </c>
      <c r="Q305">
        <v>1</v>
      </c>
      <c r="R305" t="s">
        <v>670</v>
      </c>
      <c r="S305" t="s">
        <v>730</v>
      </c>
    </row>
    <row r="306" spans="1:19" x14ac:dyDescent="0.25">
      <c r="A306" t="s">
        <v>234</v>
      </c>
      <c r="B306" t="s">
        <v>213</v>
      </c>
      <c r="C306" t="s">
        <v>654</v>
      </c>
      <c r="D306" s="2" t="s">
        <v>650</v>
      </c>
      <c r="E306" t="str">
        <f>_xlfn.XLOOKUP(B306,Laitetyypit!A:A,Laitetyypit!B:B,"ei")</f>
        <v>Thingsee BEAM</v>
      </c>
      <c r="F306" t="s">
        <v>659</v>
      </c>
      <c r="G306" s="3">
        <v>0.6</v>
      </c>
      <c r="H306" s="2">
        <v>45057.288634259261</v>
      </c>
      <c r="L306">
        <v>112079530</v>
      </c>
      <c r="M306" t="s">
        <v>738</v>
      </c>
      <c r="N306" t="s">
        <v>827</v>
      </c>
      <c r="O306" t="s">
        <v>739</v>
      </c>
      <c r="P306" s="1" t="s">
        <v>669</v>
      </c>
      <c r="Q306">
        <v>2</v>
      </c>
      <c r="R306" t="s">
        <v>670</v>
      </c>
      <c r="S306" t="s">
        <v>739</v>
      </c>
    </row>
    <row r="307" spans="1:19" x14ac:dyDescent="0.25">
      <c r="A307" t="s">
        <v>302</v>
      </c>
      <c r="B307" t="s">
        <v>213</v>
      </c>
      <c r="C307" t="s">
        <v>654</v>
      </c>
      <c r="D307" s="2" t="s">
        <v>650</v>
      </c>
      <c r="E307" t="str">
        <f>_xlfn.XLOOKUP(B307,Laitetyypit!A:A,Laitetyypit!B:B,"ei")</f>
        <v>Thingsee BEAM</v>
      </c>
      <c r="F307" t="s">
        <v>659</v>
      </c>
      <c r="G307" s="3">
        <v>0.68</v>
      </c>
      <c r="H307" s="2">
        <v>46164.524756944447</v>
      </c>
      <c r="L307">
        <v>112079531</v>
      </c>
      <c r="M307" t="s">
        <v>740</v>
      </c>
      <c r="N307" t="s">
        <v>827</v>
      </c>
      <c r="O307" t="s">
        <v>672</v>
      </c>
      <c r="P307" s="1" t="s">
        <v>669</v>
      </c>
      <c r="Q307">
        <v>1</v>
      </c>
      <c r="R307" t="s">
        <v>670</v>
      </c>
      <c r="S307" t="s">
        <v>672</v>
      </c>
    </row>
    <row r="308" spans="1:19" x14ac:dyDescent="0.25">
      <c r="A308" t="s">
        <v>303</v>
      </c>
      <c r="B308" t="s">
        <v>213</v>
      </c>
      <c r="C308" t="s">
        <v>654</v>
      </c>
      <c r="D308" s="2" t="s">
        <v>650</v>
      </c>
      <c r="E308" t="str">
        <f>_xlfn.XLOOKUP(B308,Laitetyypit!A:A,Laitetyypit!B:B,"ei")</f>
        <v>Thingsee BEAM</v>
      </c>
      <c r="F308" t="s">
        <v>659</v>
      </c>
      <c r="G308" s="3">
        <v>0.95</v>
      </c>
      <c r="H308" s="2">
        <v>46164.550370370373</v>
      </c>
      <c r="L308">
        <v>112079532</v>
      </c>
      <c r="M308" t="s">
        <v>741</v>
      </c>
      <c r="N308" t="s">
        <v>827</v>
      </c>
      <c r="O308" t="s">
        <v>752</v>
      </c>
      <c r="P308" s="1" t="s">
        <v>669</v>
      </c>
      <c r="Q308">
        <v>1</v>
      </c>
      <c r="R308" t="s">
        <v>670</v>
      </c>
      <c r="S308" t="s">
        <v>752</v>
      </c>
    </row>
    <row r="309" spans="1:19" x14ac:dyDescent="0.25">
      <c r="A309" t="s">
        <v>209</v>
      </c>
      <c r="B309" t="s">
        <v>367</v>
      </c>
      <c r="C309" t="s">
        <v>654</v>
      </c>
      <c r="D309" s="2" t="s">
        <v>650</v>
      </c>
      <c r="E309" t="str">
        <f>_xlfn.XLOOKUP(B309,Laitetyypit!A:A,Laitetyypit!B:B,"ei")</f>
        <v>Thingsee PRESENCE</v>
      </c>
      <c r="F309" t="s">
        <v>659</v>
      </c>
      <c r="G309" s="3">
        <v>0.96</v>
      </c>
      <c r="H309" s="2">
        <v>46164.556157407409</v>
      </c>
      <c r="L309">
        <v>112079533</v>
      </c>
      <c r="M309" t="s">
        <v>742</v>
      </c>
      <c r="N309" t="s">
        <v>827</v>
      </c>
      <c r="O309" t="s">
        <v>739</v>
      </c>
      <c r="P309" s="1" t="s">
        <v>667</v>
      </c>
      <c r="Q309">
        <v>2</v>
      </c>
      <c r="R309" t="s">
        <v>670</v>
      </c>
      <c r="S309" t="s">
        <v>739</v>
      </c>
    </row>
    <row r="310" spans="1:19" x14ac:dyDescent="0.25">
      <c r="A310" t="s">
        <v>208</v>
      </c>
      <c r="B310" t="s">
        <v>367</v>
      </c>
      <c r="C310" t="s">
        <v>654</v>
      </c>
      <c r="D310" s="2" t="s">
        <v>650</v>
      </c>
      <c r="E310" t="str">
        <f>_xlfn.XLOOKUP(B310,Laitetyypit!A:A,Laitetyypit!B:B,"ei")</f>
        <v>Thingsee PRESENCE</v>
      </c>
      <c r="F310" t="s">
        <v>659</v>
      </c>
      <c r="G310" s="3">
        <v>0.96</v>
      </c>
      <c r="H310" s="2">
        <v>46164.548194444447</v>
      </c>
      <c r="L310">
        <v>112079534</v>
      </c>
      <c r="M310" t="s">
        <v>743</v>
      </c>
      <c r="N310" t="s">
        <v>827</v>
      </c>
      <c r="O310" t="s">
        <v>739</v>
      </c>
      <c r="P310" s="1" t="s">
        <v>667</v>
      </c>
      <c r="Q310">
        <v>2</v>
      </c>
      <c r="R310" t="s">
        <v>670</v>
      </c>
      <c r="S310" t="s">
        <v>739</v>
      </c>
    </row>
    <row r="311" spans="1:19" x14ac:dyDescent="0.25">
      <c r="A311" t="s">
        <v>221</v>
      </c>
      <c r="B311" t="s">
        <v>213</v>
      </c>
      <c r="C311" t="s">
        <v>654</v>
      </c>
      <c r="D311" s="2" t="s">
        <v>650</v>
      </c>
      <c r="E311" t="str">
        <f>_xlfn.XLOOKUP(B311,Laitetyypit!A:A,Laitetyypit!B:B,"ei")</f>
        <v>Thingsee BEAM</v>
      </c>
      <c r="F311" t="s">
        <v>659</v>
      </c>
      <c r="G311" s="3">
        <v>0.94</v>
      </c>
      <c r="H311" s="2">
        <v>46164.527199074073</v>
      </c>
      <c r="L311">
        <v>112079535</v>
      </c>
      <c r="M311" t="s">
        <v>744</v>
      </c>
      <c r="N311" t="s">
        <v>827</v>
      </c>
      <c r="O311" t="s">
        <v>739</v>
      </c>
      <c r="P311" s="1" t="s">
        <v>668</v>
      </c>
      <c r="Q311">
        <v>2</v>
      </c>
      <c r="R311" t="s">
        <v>670</v>
      </c>
      <c r="S311" t="s">
        <v>739</v>
      </c>
    </row>
    <row r="312" spans="1:19" x14ac:dyDescent="0.25">
      <c r="A312" t="s">
        <v>231</v>
      </c>
      <c r="B312" t="s">
        <v>213</v>
      </c>
      <c r="C312" t="s">
        <v>654</v>
      </c>
      <c r="D312" s="2" t="s">
        <v>650</v>
      </c>
      <c r="E312" t="str">
        <f>_xlfn.XLOOKUP(B312,Laitetyypit!A:A,Laitetyypit!B:B,"ei")</f>
        <v>Thingsee BEAM</v>
      </c>
      <c r="F312" t="s">
        <v>659</v>
      </c>
      <c r="G312" s="3">
        <v>0.93</v>
      </c>
      <c r="H312" s="2">
        <v>46164.543865740743</v>
      </c>
      <c r="L312">
        <v>112079536</v>
      </c>
      <c r="M312" t="s">
        <v>745</v>
      </c>
      <c r="N312" t="s">
        <v>827</v>
      </c>
      <c r="O312" t="s">
        <v>739</v>
      </c>
      <c r="P312" s="1" t="s">
        <v>668</v>
      </c>
      <c r="Q312">
        <v>2</v>
      </c>
      <c r="R312" t="s">
        <v>670</v>
      </c>
      <c r="S312" t="s">
        <v>739</v>
      </c>
    </row>
    <row r="313" spans="1:19" x14ac:dyDescent="0.25">
      <c r="A313" t="s">
        <v>366</v>
      </c>
      <c r="B313" t="s">
        <v>213</v>
      </c>
      <c r="C313" t="s">
        <v>654</v>
      </c>
      <c r="D313" s="2" t="s">
        <v>650</v>
      </c>
      <c r="E313" t="str">
        <f>_xlfn.XLOOKUP(B313,Laitetyypit!A:A,Laitetyypit!B:B,"ei")</f>
        <v>Thingsee BEAM</v>
      </c>
      <c r="F313" t="s">
        <v>659</v>
      </c>
      <c r="G313" s="3">
        <v>0.56000000000000005</v>
      </c>
      <c r="H313" s="2">
        <v>46164.553865740738</v>
      </c>
      <c r="L313">
        <v>112079537</v>
      </c>
      <c r="M313" t="s">
        <v>746</v>
      </c>
      <c r="N313" t="s">
        <v>827</v>
      </c>
      <c r="O313" t="s">
        <v>739</v>
      </c>
      <c r="P313" s="1" t="s">
        <v>668</v>
      </c>
      <c r="Q313">
        <v>2</v>
      </c>
      <c r="R313" t="s">
        <v>670</v>
      </c>
      <c r="S313" t="s">
        <v>739</v>
      </c>
    </row>
    <row r="314" spans="1:19" x14ac:dyDescent="0.25">
      <c r="A314" t="s">
        <v>351</v>
      </c>
      <c r="B314" t="s">
        <v>213</v>
      </c>
      <c r="C314" t="s">
        <v>654</v>
      </c>
      <c r="D314" s="2" t="s">
        <v>650</v>
      </c>
      <c r="E314" t="str">
        <f>_xlfn.XLOOKUP(B314,Laitetyypit!A:A,Laitetyypit!B:B,"ei")</f>
        <v>Thingsee BEAM</v>
      </c>
      <c r="F314" t="s">
        <v>659</v>
      </c>
      <c r="G314" s="3">
        <v>0.94</v>
      </c>
      <c r="H314" s="2">
        <v>46164.547673611109</v>
      </c>
      <c r="L314">
        <v>112079538</v>
      </c>
      <c r="M314" t="s">
        <v>747</v>
      </c>
      <c r="N314" t="s">
        <v>827</v>
      </c>
      <c r="O314" t="s">
        <v>739</v>
      </c>
      <c r="P314" s="1" t="s">
        <v>668</v>
      </c>
      <c r="Q314">
        <v>2</v>
      </c>
      <c r="R314" t="s">
        <v>670</v>
      </c>
      <c r="S314" t="s">
        <v>739</v>
      </c>
    </row>
    <row r="315" spans="1:19" x14ac:dyDescent="0.25">
      <c r="A315" t="s">
        <v>217</v>
      </c>
      <c r="B315" t="s">
        <v>213</v>
      </c>
      <c r="C315" t="s">
        <v>654</v>
      </c>
      <c r="D315" s="2" t="s">
        <v>650</v>
      </c>
      <c r="E315" t="str">
        <f>_xlfn.XLOOKUP(B315,Laitetyypit!A:A,Laitetyypit!B:B,"ei")</f>
        <v>Thingsee BEAM</v>
      </c>
      <c r="F315" t="s">
        <v>659</v>
      </c>
      <c r="G315" s="3">
        <v>0.93</v>
      </c>
      <c r="H315" s="2">
        <v>46164.54582175926</v>
      </c>
      <c r="L315">
        <v>112079539</v>
      </c>
      <c r="M315" t="s">
        <v>748</v>
      </c>
      <c r="N315" t="s">
        <v>827</v>
      </c>
      <c r="O315" t="s">
        <v>739</v>
      </c>
      <c r="P315" s="1" t="s">
        <v>668</v>
      </c>
      <c r="Q315">
        <v>2</v>
      </c>
      <c r="R315" t="s">
        <v>670</v>
      </c>
      <c r="S315" t="s">
        <v>739</v>
      </c>
    </row>
    <row r="316" spans="1:19" x14ac:dyDescent="0.25">
      <c r="A316" t="s">
        <v>216</v>
      </c>
      <c r="B316" t="s">
        <v>213</v>
      </c>
      <c r="C316" t="s">
        <v>654</v>
      </c>
      <c r="D316" s="2" t="s">
        <v>650</v>
      </c>
      <c r="E316" t="str">
        <f>_xlfn.XLOOKUP(B316,Laitetyypit!A:A,Laitetyypit!B:B,"ei")</f>
        <v>Thingsee BEAM</v>
      </c>
      <c r="F316" t="s">
        <v>659</v>
      </c>
      <c r="G316" s="3">
        <v>0.94</v>
      </c>
      <c r="H316" s="2">
        <v>46164.5546875</v>
      </c>
      <c r="L316">
        <v>112079540</v>
      </c>
      <c r="M316" t="s">
        <v>749</v>
      </c>
      <c r="N316" t="s">
        <v>827</v>
      </c>
      <c r="O316" t="s">
        <v>739</v>
      </c>
      <c r="P316" s="1" t="s">
        <v>668</v>
      </c>
      <c r="Q316">
        <v>2</v>
      </c>
      <c r="R316" t="s">
        <v>670</v>
      </c>
      <c r="S316" t="s">
        <v>739</v>
      </c>
    </row>
    <row r="317" spans="1:19" x14ac:dyDescent="0.25">
      <c r="A317" t="s">
        <v>387</v>
      </c>
      <c r="B317" t="s">
        <v>367</v>
      </c>
      <c r="C317" t="s">
        <v>654</v>
      </c>
      <c r="D317" s="2" t="s">
        <v>650</v>
      </c>
      <c r="E317" t="str">
        <f>_xlfn.XLOOKUP(B317,Laitetyypit!A:A,Laitetyypit!B:B,"ei")</f>
        <v>Thingsee PRESENCE</v>
      </c>
      <c r="F317" t="s">
        <v>659</v>
      </c>
      <c r="G317" s="3">
        <v>0.96</v>
      </c>
      <c r="H317" s="2">
        <v>46164.556261574071</v>
      </c>
      <c r="L317">
        <v>112079541</v>
      </c>
      <c r="M317" t="s">
        <v>750</v>
      </c>
      <c r="N317" t="s">
        <v>827</v>
      </c>
      <c r="O317" t="s">
        <v>751</v>
      </c>
      <c r="P317" s="1" t="s">
        <v>667</v>
      </c>
      <c r="Q317">
        <v>2</v>
      </c>
      <c r="R317" t="s">
        <v>670</v>
      </c>
      <c r="S317" t="s">
        <v>751</v>
      </c>
    </row>
    <row r="318" spans="1:19" x14ac:dyDescent="0.25">
      <c r="A318" t="s">
        <v>207</v>
      </c>
      <c r="B318" t="s">
        <v>367</v>
      </c>
      <c r="C318" t="s">
        <v>654</v>
      </c>
      <c r="D318" s="2" t="s">
        <v>650</v>
      </c>
      <c r="E318" t="str">
        <f>_xlfn.XLOOKUP(B318,Laitetyypit!A:A,Laitetyypit!B:B,"ei")</f>
        <v>Thingsee PRESENCE</v>
      </c>
      <c r="F318" t="s">
        <v>659</v>
      </c>
      <c r="G318" s="3">
        <v>0.96</v>
      </c>
      <c r="H318" s="2">
        <v>46164.552164351851</v>
      </c>
      <c r="L318">
        <v>112079542</v>
      </c>
      <c r="M318" t="s">
        <v>753</v>
      </c>
      <c r="N318" t="s">
        <v>827</v>
      </c>
      <c r="O318" t="s">
        <v>751</v>
      </c>
      <c r="P318" s="1" t="s">
        <v>667</v>
      </c>
      <c r="Q318">
        <v>2</v>
      </c>
      <c r="R318" t="s">
        <v>670</v>
      </c>
      <c r="S318" t="s">
        <v>751</v>
      </c>
    </row>
    <row r="319" spans="1:19" x14ac:dyDescent="0.25">
      <c r="A319" t="s">
        <v>232</v>
      </c>
      <c r="B319" t="s">
        <v>213</v>
      </c>
      <c r="C319" t="s">
        <v>654</v>
      </c>
      <c r="D319" s="2" t="s">
        <v>650</v>
      </c>
      <c r="E319" t="str">
        <f>_xlfn.XLOOKUP(B319,Laitetyypit!A:A,Laitetyypit!B:B,"ei")</f>
        <v>Thingsee BEAM</v>
      </c>
      <c r="F319" t="s">
        <v>659</v>
      </c>
      <c r="G319" s="3">
        <v>0.95</v>
      </c>
      <c r="H319" s="2">
        <v>46164.532361111109</v>
      </c>
      <c r="L319">
        <v>112079543</v>
      </c>
      <c r="M319" t="s">
        <v>754</v>
      </c>
      <c r="N319" t="s">
        <v>827</v>
      </c>
      <c r="O319" t="s">
        <v>751</v>
      </c>
      <c r="P319" s="1" t="s">
        <v>668</v>
      </c>
      <c r="Q319">
        <v>2</v>
      </c>
      <c r="R319" t="s">
        <v>670</v>
      </c>
      <c r="S319" t="s">
        <v>751</v>
      </c>
    </row>
    <row r="320" spans="1:19" x14ac:dyDescent="0.25">
      <c r="A320" t="s">
        <v>223</v>
      </c>
      <c r="B320" t="s">
        <v>213</v>
      </c>
      <c r="C320" t="s">
        <v>654</v>
      </c>
      <c r="D320" s="2" t="s">
        <v>650</v>
      </c>
      <c r="E320" t="str">
        <f>_xlfn.XLOOKUP(B320,Laitetyypit!A:A,Laitetyypit!B:B,"ei")</f>
        <v>Thingsee BEAM</v>
      </c>
      <c r="F320" t="s">
        <v>659</v>
      </c>
      <c r="G320" s="3">
        <v>0.93</v>
      </c>
      <c r="H320" s="2">
        <v>46105.558680555558</v>
      </c>
      <c r="L320">
        <v>112079544</v>
      </c>
      <c r="M320" t="s">
        <v>755</v>
      </c>
      <c r="N320" t="s">
        <v>827</v>
      </c>
      <c r="O320" t="s">
        <v>751</v>
      </c>
      <c r="P320" s="1" t="s">
        <v>668</v>
      </c>
      <c r="Q320">
        <v>2</v>
      </c>
      <c r="R320" t="s">
        <v>670</v>
      </c>
      <c r="S320" t="s">
        <v>751</v>
      </c>
    </row>
    <row r="321" spans="1:19" x14ac:dyDescent="0.25">
      <c r="A321" t="s">
        <v>235</v>
      </c>
      <c r="B321" t="s">
        <v>213</v>
      </c>
      <c r="C321" t="s">
        <v>654</v>
      </c>
      <c r="D321" s="2" t="s">
        <v>650</v>
      </c>
      <c r="E321" t="str">
        <f>_xlfn.XLOOKUP(B321,Laitetyypit!A:A,Laitetyypit!B:B,"ei")</f>
        <v>Thingsee BEAM</v>
      </c>
      <c r="F321" t="s">
        <v>659</v>
      </c>
      <c r="G321" s="3">
        <v>0.94</v>
      </c>
      <c r="H321" s="2">
        <v>46164.539733796293</v>
      </c>
      <c r="L321">
        <v>112079545</v>
      </c>
      <c r="M321" t="s">
        <v>756</v>
      </c>
      <c r="N321" t="s">
        <v>827</v>
      </c>
      <c r="O321" t="s">
        <v>751</v>
      </c>
      <c r="P321" s="1" t="s">
        <v>668</v>
      </c>
      <c r="Q321">
        <v>22</v>
      </c>
      <c r="R321" t="s">
        <v>670</v>
      </c>
      <c r="S321" t="s">
        <v>751</v>
      </c>
    </row>
    <row r="322" spans="1:19" x14ac:dyDescent="0.25">
      <c r="A322" t="s">
        <v>246</v>
      </c>
      <c r="B322" t="s">
        <v>213</v>
      </c>
      <c r="C322" t="s">
        <v>654</v>
      </c>
      <c r="D322" s="2" t="s">
        <v>650</v>
      </c>
      <c r="E322" t="str">
        <f>_xlfn.XLOOKUP(B322,Laitetyypit!A:A,Laitetyypit!B:B,"ei")</f>
        <v>Thingsee BEAM</v>
      </c>
      <c r="F322" t="s">
        <v>659</v>
      </c>
      <c r="G322" s="3">
        <v>0.95</v>
      </c>
      <c r="H322" s="2">
        <v>46164.554247685184</v>
      </c>
      <c r="L322">
        <v>112079546</v>
      </c>
      <c r="M322" t="s">
        <v>757</v>
      </c>
      <c r="N322" t="s">
        <v>827</v>
      </c>
      <c r="O322" t="s">
        <v>751</v>
      </c>
      <c r="P322" s="1" t="s">
        <v>668</v>
      </c>
      <c r="Q322">
        <v>2</v>
      </c>
      <c r="R322" t="s">
        <v>670</v>
      </c>
      <c r="S322" t="s">
        <v>751</v>
      </c>
    </row>
    <row r="323" spans="1:19" x14ac:dyDescent="0.25">
      <c r="A323" t="s">
        <v>228</v>
      </c>
      <c r="B323" t="s">
        <v>213</v>
      </c>
      <c r="C323" t="s">
        <v>654</v>
      </c>
      <c r="D323" s="2" t="s">
        <v>650</v>
      </c>
      <c r="E323" t="str">
        <f>_xlfn.XLOOKUP(B323,Laitetyypit!A:A,Laitetyypit!B:B,"ei")</f>
        <v>Thingsee BEAM</v>
      </c>
      <c r="F323" t="s">
        <v>659</v>
      </c>
      <c r="G323" s="3">
        <v>0.94</v>
      </c>
      <c r="H323" s="2">
        <v>46164.521631944444</v>
      </c>
      <c r="L323">
        <v>112079547</v>
      </c>
      <c r="M323" t="s">
        <v>758</v>
      </c>
      <c r="N323" t="s">
        <v>827</v>
      </c>
      <c r="O323" t="s">
        <v>751</v>
      </c>
      <c r="P323" s="1" t="s">
        <v>668</v>
      </c>
      <c r="Q323">
        <v>2</v>
      </c>
      <c r="R323" t="s">
        <v>670</v>
      </c>
      <c r="S323" t="s">
        <v>751</v>
      </c>
    </row>
    <row r="324" spans="1:19" x14ac:dyDescent="0.25">
      <c r="A324" t="s">
        <v>350</v>
      </c>
      <c r="B324" t="s">
        <v>367</v>
      </c>
      <c r="C324" t="s">
        <v>654</v>
      </c>
      <c r="D324" s="2" t="s">
        <v>650</v>
      </c>
      <c r="E324" t="str">
        <f>_xlfn.XLOOKUP(B324,Laitetyypit!A:A,Laitetyypit!B:B,"ei")</f>
        <v>Thingsee PRESENCE</v>
      </c>
      <c r="F324" t="s">
        <v>659</v>
      </c>
      <c r="G324" s="3">
        <v>0.96</v>
      </c>
      <c r="H324" s="2">
        <v>46164.539814814816</v>
      </c>
      <c r="L324">
        <v>112079548</v>
      </c>
      <c r="M324" t="s">
        <v>759</v>
      </c>
      <c r="N324" t="s">
        <v>827</v>
      </c>
      <c r="O324" t="s">
        <v>760</v>
      </c>
      <c r="P324" s="1" t="s">
        <v>667</v>
      </c>
      <c r="Q324">
        <v>2</v>
      </c>
      <c r="R324" t="s">
        <v>670</v>
      </c>
      <c r="S324" t="s">
        <v>760</v>
      </c>
    </row>
    <row r="325" spans="1:19" x14ac:dyDescent="0.25">
      <c r="A325" t="s">
        <v>212</v>
      </c>
      <c r="B325" t="s">
        <v>367</v>
      </c>
      <c r="C325" t="s">
        <v>654</v>
      </c>
      <c r="D325" s="2" t="s">
        <v>650</v>
      </c>
      <c r="E325" t="str">
        <f>_xlfn.XLOOKUP(B325,Laitetyypit!A:A,Laitetyypit!B:B,"ei")</f>
        <v>Thingsee PRESENCE</v>
      </c>
      <c r="F325" t="s">
        <v>659</v>
      </c>
      <c r="G325" s="3">
        <v>0.96</v>
      </c>
      <c r="H325" s="2">
        <v>46164.556168981479</v>
      </c>
      <c r="L325">
        <v>112079549</v>
      </c>
      <c r="M325" t="s">
        <v>761</v>
      </c>
      <c r="N325" t="s">
        <v>827</v>
      </c>
      <c r="O325" t="s">
        <v>760</v>
      </c>
      <c r="P325" s="1" t="s">
        <v>667</v>
      </c>
      <c r="Q325">
        <v>2</v>
      </c>
      <c r="R325" t="s">
        <v>670</v>
      </c>
      <c r="S325" t="s">
        <v>760</v>
      </c>
    </row>
    <row r="326" spans="1:19" x14ac:dyDescent="0.25">
      <c r="A326" t="s">
        <v>224</v>
      </c>
      <c r="B326" t="s">
        <v>213</v>
      </c>
      <c r="C326" t="s">
        <v>654</v>
      </c>
      <c r="D326" s="2" t="s">
        <v>650</v>
      </c>
      <c r="E326" t="str">
        <f>_xlfn.XLOOKUP(B326,Laitetyypit!A:A,Laitetyypit!B:B,"ei")</f>
        <v>Thingsee BEAM</v>
      </c>
      <c r="F326" t="s">
        <v>659</v>
      </c>
      <c r="G326" s="3">
        <v>0.86</v>
      </c>
      <c r="H326" s="2">
        <v>44831.76</v>
      </c>
      <c r="L326">
        <v>112079550</v>
      </c>
      <c r="M326" t="s">
        <v>762</v>
      </c>
      <c r="N326" t="s">
        <v>827</v>
      </c>
      <c r="O326" t="s">
        <v>760</v>
      </c>
      <c r="P326" s="1" t="s">
        <v>668</v>
      </c>
      <c r="Q326">
        <v>2</v>
      </c>
      <c r="R326" t="s">
        <v>670</v>
      </c>
      <c r="S326" t="s">
        <v>760</v>
      </c>
    </row>
    <row r="327" spans="1:19" x14ac:dyDescent="0.25">
      <c r="A327" t="s">
        <v>219</v>
      </c>
      <c r="B327" t="s">
        <v>213</v>
      </c>
      <c r="C327" t="s">
        <v>654</v>
      </c>
      <c r="D327" s="2" t="s">
        <v>650</v>
      </c>
      <c r="E327" t="str">
        <f>_xlfn.XLOOKUP(B327,Laitetyypit!A:A,Laitetyypit!B:B,"ei")</f>
        <v>Thingsee BEAM</v>
      </c>
      <c r="F327" t="s">
        <v>659</v>
      </c>
      <c r="G327" s="3">
        <v>0.95</v>
      </c>
      <c r="H327" s="2">
        <v>46164.525451388887</v>
      </c>
      <c r="L327">
        <v>112079551</v>
      </c>
      <c r="M327" t="s">
        <v>763</v>
      </c>
      <c r="N327" t="s">
        <v>827</v>
      </c>
      <c r="O327" t="s">
        <v>760</v>
      </c>
      <c r="P327" s="1" t="s">
        <v>668</v>
      </c>
      <c r="Q327">
        <v>2</v>
      </c>
      <c r="R327" t="s">
        <v>670</v>
      </c>
      <c r="S327" t="s">
        <v>760</v>
      </c>
    </row>
    <row r="328" spans="1:19" x14ac:dyDescent="0.25">
      <c r="A328" t="s">
        <v>226</v>
      </c>
      <c r="B328" t="s">
        <v>213</v>
      </c>
      <c r="C328" t="s">
        <v>654</v>
      </c>
      <c r="D328" s="2" t="s">
        <v>650</v>
      </c>
      <c r="E328" t="str">
        <f>_xlfn.XLOOKUP(B328,Laitetyypit!A:A,Laitetyypit!B:B,"ei")</f>
        <v>Thingsee BEAM</v>
      </c>
      <c r="F328" t="s">
        <v>659</v>
      </c>
      <c r="G328" s="3">
        <v>0.94</v>
      </c>
      <c r="H328" s="2">
        <v>46164.556122685186</v>
      </c>
      <c r="L328">
        <v>112079552</v>
      </c>
      <c r="M328" t="s">
        <v>764</v>
      </c>
      <c r="N328" t="s">
        <v>827</v>
      </c>
      <c r="O328" t="s">
        <v>760</v>
      </c>
      <c r="P328" s="1" t="s">
        <v>668</v>
      </c>
      <c r="Q328">
        <v>2</v>
      </c>
      <c r="R328" t="s">
        <v>670</v>
      </c>
      <c r="S328" t="s">
        <v>760</v>
      </c>
    </row>
    <row r="329" spans="1:19" x14ac:dyDescent="0.25">
      <c r="A329" t="s">
        <v>220</v>
      </c>
      <c r="B329" t="s">
        <v>213</v>
      </c>
      <c r="C329" t="s">
        <v>654</v>
      </c>
      <c r="D329" s="2" t="s">
        <v>650</v>
      </c>
      <c r="E329" t="str">
        <f>_xlfn.XLOOKUP(B329,Laitetyypit!A:A,Laitetyypit!B:B,"ei")</f>
        <v>Thingsee BEAM</v>
      </c>
      <c r="F329" t="s">
        <v>659</v>
      </c>
      <c r="G329" s="3">
        <v>0.82</v>
      </c>
      <c r="H329" s="2">
        <v>44833.367569444446</v>
      </c>
      <c r="L329">
        <v>112079553</v>
      </c>
      <c r="M329" t="s">
        <v>765</v>
      </c>
      <c r="N329" t="s">
        <v>827</v>
      </c>
      <c r="O329" t="s">
        <v>760</v>
      </c>
      <c r="P329" s="1" t="s">
        <v>668</v>
      </c>
      <c r="Q329">
        <v>2</v>
      </c>
      <c r="R329" t="s">
        <v>670</v>
      </c>
      <c r="S329" t="s">
        <v>760</v>
      </c>
    </row>
    <row r="330" spans="1:19" x14ac:dyDescent="0.25">
      <c r="A330" t="s">
        <v>349</v>
      </c>
      <c r="B330" t="s">
        <v>213</v>
      </c>
      <c r="C330" t="s">
        <v>654</v>
      </c>
      <c r="D330" s="2" t="s">
        <v>650</v>
      </c>
      <c r="E330" t="str">
        <f>_xlfn.XLOOKUP(B330,Laitetyypit!A:A,Laitetyypit!B:B,"ei")</f>
        <v>Thingsee BEAM</v>
      </c>
      <c r="F330" t="s">
        <v>659</v>
      </c>
      <c r="G330" s="3">
        <v>0.95</v>
      </c>
      <c r="H330" s="2">
        <v>46164.540902777779</v>
      </c>
      <c r="L330">
        <v>112079554</v>
      </c>
      <c r="M330" t="s">
        <v>766</v>
      </c>
      <c r="N330" t="s">
        <v>827</v>
      </c>
      <c r="O330" t="s">
        <v>760</v>
      </c>
      <c r="P330" s="1" t="s">
        <v>668</v>
      </c>
      <c r="Q330">
        <v>2</v>
      </c>
      <c r="R330" t="s">
        <v>670</v>
      </c>
      <c r="S330" t="s">
        <v>760</v>
      </c>
    </row>
    <row r="331" spans="1:19" x14ac:dyDescent="0.25">
      <c r="A331" t="s">
        <v>233</v>
      </c>
      <c r="B331" t="s">
        <v>213</v>
      </c>
      <c r="C331" t="s">
        <v>654</v>
      </c>
      <c r="D331" s="2" t="s">
        <v>650</v>
      </c>
      <c r="E331" t="str">
        <f>_xlfn.XLOOKUP(B331,Laitetyypit!A:A,Laitetyypit!B:B,"ei")</f>
        <v>Thingsee BEAM</v>
      </c>
      <c r="F331" t="s">
        <v>659</v>
      </c>
      <c r="G331" s="3">
        <v>0.94</v>
      </c>
      <c r="H331" s="2">
        <v>46164.514791666668</v>
      </c>
      <c r="L331">
        <v>112079555</v>
      </c>
      <c r="M331" t="s">
        <v>767</v>
      </c>
      <c r="N331" t="s">
        <v>827</v>
      </c>
      <c r="O331" t="s">
        <v>760</v>
      </c>
      <c r="P331" s="1" t="s">
        <v>668</v>
      </c>
      <c r="Q331">
        <v>2</v>
      </c>
      <c r="R331" t="s">
        <v>670</v>
      </c>
      <c r="S331" t="s">
        <v>760</v>
      </c>
    </row>
    <row r="332" spans="1:19" x14ac:dyDescent="0.25">
      <c r="A332" t="s">
        <v>222</v>
      </c>
      <c r="B332" t="s">
        <v>213</v>
      </c>
      <c r="C332" t="s">
        <v>654</v>
      </c>
      <c r="D332" s="2" t="s">
        <v>650</v>
      </c>
      <c r="E332" t="str">
        <f>_xlfn.XLOOKUP(B332,Laitetyypit!A:A,Laitetyypit!B:B,"ei")</f>
        <v>Thingsee BEAM</v>
      </c>
      <c r="F332" t="s">
        <v>659</v>
      </c>
      <c r="G332" s="3">
        <v>0.95</v>
      </c>
      <c r="H332" s="2">
        <v>46164.540081018517</v>
      </c>
      <c r="L332">
        <v>112079556</v>
      </c>
      <c r="M332" t="s">
        <v>768</v>
      </c>
      <c r="N332" t="s">
        <v>827</v>
      </c>
      <c r="O332" t="s">
        <v>760</v>
      </c>
      <c r="P332" s="1" t="s">
        <v>668</v>
      </c>
      <c r="Q332">
        <v>2</v>
      </c>
      <c r="R332" t="s">
        <v>670</v>
      </c>
      <c r="S332" t="s">
        <v>760</v>
      </c>
    </row>
    <row r="333" spans="1:19" x14ac:dyDescent="0.25">
      <c r="A333" t="s">
        <v>225</v>
      </c>
      <c r="B333" t="s">
        <v>213</v>
      </c>
      <c r="C333" t="s">
        <v>654</v>
      </c>
      <c r="D333" s="2" t="s">
        <v>650</v>
      </c>
      <c r="E333" t="str">
        <f>_xlfn.XLOOKUP(B333,Laitetyypit!A:A,Laitetyypit!B:B,"ei")</f>
        <v>Thingsee BEAM</v>
      </c>
      <c r="F333" t="s">
        <v>659</v>
      </c>
      <c r="G333" s="3">
        <v>0.94</v>
      </c>
      <c r="H333" s="2">
        <v>46164.524537037039</v>
      </c>
      <c r="L333">
        <v>112079557</v>
      </c>
      <c r="M333" t="s">
        <v>769</v>
      </c>
      <c r="N333" t="s">
        <v>827</v>
      </c>
      <c r="O333" t="s">
        <v>760</v>
      </c>
      <c r="P333" s="1" t="s">
        <v>668</v>
      </c>
      <c r="Q333">
        <v>2</v>
      </c>
      <c r="R333" t="s">
        <v>670</v>
      </c>
      <c r="S333" t="s">
        <v>760</v>
      </c>
    </row>
    <row r="334" spans="1:19" x14ac:dyDescent="0.25">
      <c r="A334" t="s">
        <v>385</v>
      </c>
      <c r="B334" t="s">
        <v>213</v>
      </c>
      <c r="C334" t="s">
        <v>654</v>
      </c>
      <c r="D334" s="2" t="s">
        <v>650</v>
      </c>
      <c r="E334" t="str">
        <f>_xlfn.XLOOKUP(B334,Laitetyypit!A:A,Laitetyypit!B:B,"ei")</f>
        <v>Thingsee BEAM</v>
      </c>
      <c r="F334" t="s">
        <v>659</v>
      </c>
      <c r="G334" s="3">
        <v>0.94</v>
      </c>
      <c r="H334" s="2">
        <v>46164.556157407409</v>
      </c>
      <c r="L334">
        <v>112079558</v>
      </c>
      <c r="M334" t="s">
        <v>770</v>
      </c>
      <c r="N334" t="s">
        <v>827</v>
      </c>
      <c r="O334" t="s">
        <v>671</v>
      </c>
      <c r="P334" s="1" t="s">
        <v>668</v>
      </c>
      <c r="Q334">
        <v>1</v>
      </c>
      <c r="R334" t="s">
        <v>670</v>
      </c>
      <c r="S334" t="s">
        <v>671</v>
      </c>
    </row>
    <row r="335" spans="1:19" x14ac:dyDescent="0.25">
      <c r="A335" t="s">
        <v>294</v>
      </c>
      <c r="B335" t="s">
        <v>213</v>
      </c>
      <c r="C335" t="s">
        <v>654</v>
      </c>
      <c r="D335" s="2" t="s">
        <v>650</v>
      </c>
      <c r="E335" t="str">
        <f>_xlfn.XLOOKUP(B335,Laitetyypit!A:A,Laitetyypit!B:B,"ei")</f>
        <v>Thingsee BEAM</v>
      </c>
      <c r="F335" t="s">
        <v>659</v>
      </c>
      <c r="G335" s="3">
        <v>0.93</v>
      </c>
      <c r="H335" s="2">
        <v>46164.540821759256</v>
      </c>
      <c r="L335">
        <v>112079559</v>
      </c>
      <c r="M335" t="s">
        <v>771</v>
      </c>
      <c r="N335" t="s">
        <v>827</v>
      </c>
      <c r="O335" t="s">
        <v>671</v>
      </c>
      <c r="P335" s="1" t="s">
        <v>668</v>
      </c>
      <c r="Q335">
        <v>1</v>
      </c>
      <c r="R335" t="s">
        <v>670</v>
      </c>
      <c r="S335" t="s">
        <v>671</v>
      </c>
    </row>
    <row r="336" spans="1:19" x14ac:dyDescent="0.25">
      <c r="A336" t="s">
        <v>295</v>
      </c>
      <c r="B336" t="s">
        <v>213</v>
      </c>
      <c r="C336" t="s">
        <v>654</v>
      </c>
      <c r="D336" s="2" t="s">
        <v>650</v>
      </c>
      <c r="E336" t="str">
        <f>_xlfn.XLOOKUP(B336,Laitetyypit!A:A,Laitetyypit!B:B,"ei")</f>
        <v>Thingsee BEAM</v>
      </c>
      <c r="F336" t="s">
        <v>659</v>
      </c>
      <c r="G336" s="3">
        <v>0.85</v>
      </c>
      <c r="H336" s="2">
        <v>46164.555520833332</v>
      </c>
      <c r="L336">
        <v>112079560</v>
      </c>
      <c r="M336" t="s">
        <v>772</v>
      </c>
      <c r="N336" t="s">
        <v>827</v>
      </c>
      <c r="O336" t="s">
        <v>671</v>
      </c>
      <c r="P336" s="1" t="s">
        <v>668</v>
      </c>
      <c r="Q336">
        <v>1</v>
      </c>
      <c r="R336" t="s">
        <v>670</v>
      </c>
      <c r="S336" t="s">
        <v>671</v>
      </c>
    </row>
    <row r="337" spans="1:19" x14ac:dyDescent="0.25">
      <c r="A337" t="s">
        <v>293</v>
      </c>
      <c r="B337" t="s">
        <v>213</v>
      </c>
      <c r="C337" t="s">
        <v>654</v>
      </c>
      <c r="D337" s="2" t="s">
        <v>650</v>
      </c>
      <c r="E337" t="str">
        <f>_xlfn.XLOOKUP(B337,Laitetyypit!A:A,Laitetyypit!B:B,"ei")</f>
        <v>Thingsee BEAM</v>
      </c>
      <c r="F337" t="s">
        <v>659</v>
      </c>
      <c r="G337" s="3">
        <v>0.87</v>
      </c>
      <c r="H337" s="2">
        <v>46164.538171296299</v>
      </c>
      <c r="L337">
        <v>112079561</v>
      </c>
      <c r="M337" t="s">
        <v>773</v>
      </c>
      <c r="N337" t="s">
        <v>827</v>
      </c>
      <c r="O337" t="s">
        <v>671</v>
      </c>
      <c r="P337" s="1" t="s">
        <v>668</v>
      </c>
      <c r="Q337">
        <v>1</v>
      </c>
      <c r="R337" t="s">
        <v>670</v>
      </c>
      <c r="S337" t="s">
        <v>671</v>
      </c>
    </row>
    <row r="338" spans="1:19" x14ac:dyDescent="0.25">
      <c r="A338" t="s">
        <v>296</v>
      </c>
      <c r="B338" t="s">
        <v>213</v>
      </c>
      <c r="C338" t="s">
        <v>654</v>
      </c>
      <c r="D338" s="2" t="s">
        <v>650</v>
      </c>
      <c r="E338" t="str">
        <f>_xlfn.XLOOKUP(B338,Laitetyypit!A:A,Laitetyypit!B:B,"ei")</f>
        <v>Thingsee BEAM</v>
      </c>
      <c r="F338" t="s">
        <v>659</v>
      </c>
      <c r="G338" s="3">
        <v>0.96</v>
      </c>
      <c r="H338" s="2">
        <v>46164.550659722219</v>
      </c>
      <c r="L338">
        <v>112079562</v>
      </c>
      <c r="M338" t="s">
        <v>774</v>
      </c>
      <c r="N338" t="s">
        <v>827</v>
      </c>
      <c r="O338" t="s">
        <v>671</v>
      </c>
      <c r="P338" s="1" t="s">
        <v>668</v>
      </c>
      <c r="Q338">
        <v>1</v>
      </c>
      <c r="R338" t="s">
        <v>670</v>
      </c>
      <c r="S338" t="s">
        <v>671</v>
      </c>
    </row>
    <row r="339" spans="1:19" x14ac:dyDescent="0.25">
      <c r="A339" t="s">
        <v>297</v>
      </c>
      <c r="B339" t="s">
        <v>213</v>
      </c>
      <c r="C339" t="s">
        <v>654</v>
      </c>
      <c r="D339" s="2" t="s">
        <v>650</v>
      </c>
      <c r="E339" t="str">
        <f>_xlfn.XLOOKUP(B339,Laitetyypit!A:A,Laitetyypit!B:B,"ei")</f>
        <v>Thingsee BEAM</v>
      </c>
      <c r="F339" t="s">
        <v>659</v>
      </c>
      <c r="G339" s="3">
        <v>0.87</v>
      </c>
      <c r="H339" s="2">
        <v>46164.547974537039</v>
      </c>
      <c r="L339">
        <v>112079563</v>
      </c>
      <c r="M339" t="s">
        <v>775</v>
      </c>
      <c r="N339" t="s">
        <v>827</v>
      </c>
      <c r="O339" t="s">
        <v>671</v>
      </c>
      <c r="P339" s="1" t="s">
        <v>668</v>
      </c>
      <c r="Q339">
        <v>1</v>
      </c>
      <c r="R339" t="s">
        <v>670</v>
      </c>
      <c r="S339" t="s">
        <v>671</v>
      </c>
    </row>
    <row r="340" spans="1:19" x14ac:dyDescent="0.25">
      <c r="A340" t="s">
        <v>376</v>
      </c>
      <c r="B340" t="s">
        <v>213</v>
      </c>
      <c r="C340" t="s">
        <v>654</v>
      </c>
      <c r="D340" s="2" t="s">
        <v>650</v>
      </c>
      <c r="E340" t="str">
        <f>_xlfn.XLOOKUP(B340,Laitetyypit!A:A,Laitetyypit!B:B,"ei")</f>
        <v>Thingsee BEAM</v>
      </c>
      <c r="F340" t="s">
        <v>659</v>
      </c>
      <c r="G340" s="3">
        <v>0.94</v>
      </c>
      <c r="H340" s="2">
        <v>46164.531365740739</v>
      </c>
      <c r="L340">
        <v>112079564</v>
      </c>
      <c r="M340" t="s">
        <v>776</v>
      </c>
      <c r="N340" t="s">
        <v>827</v>
      </c>
      <c r="O340" t="s">
        <v>671</v>
      </c>
      <c r="P340" s="1" t="s">
        <v>668</v>
      </c>
      <c r="Q340">
        <v>1</v>
      </c>
      <c r="R340" t="s">
        <v>670</v>
      </c>
      <c r="S340" t="s">
        <v>671</v>
      </c>
    </row>
    <row r="341" spans="1:19" x14ac:dyDescent="0.25">
      <c r="A341" t="s">
        <v>299</v>
      </c>
      <c r="B341" t="s">
        <v>213</v>
      </c>
      <c r="C341" t="s">
        <v>654</v>
      </c>
      <c r="D341" s="2" t="s">
        <v>650</v>
      </c>
      <c r="E341" t="str">
        <f>_xlfn.XLOOKUP(B341,Laitetyypit!A:A,Laitetyypit!B:B,"ei")</f>
        <v>Thingsee BEAM</v>
      </c>
      <c r="F341" t="s">
        <v>659</v>
      </c>
      <c r="G341" s="3">
        <v>0.88</v>
      </c>
      <c r="H341" s="2">
        <v>46164.550185185188</v>
      </c>
      <c r="L341">
        <v>112079565</v>
      </c>
      <c r="M341" t="s">
        <v>777</v>
      </c>
      <c r="N341" t="s">
        <v>827</v>
      </c>
      <c r="O341" t="s">
        <v>671</v>
      </c>
      <c r="P341" s="1" t="s">
        <v>668</v>
      </c>
      <c r="Q341">
        <v>1</v>
      </c>
      <c r="R341" t="s">
        <v>670</v>
      </c>
      <c r="S341" t="s">
        <v>671</v>
      </c>
    </row>
    <row r="342" spans="1:19" x14ac:dyDescent="0.25">
      <c r="A342" t="s">
        <v>308</v>
      </c>
      <c r="B342" t="s">
        <v>367</v>
      </c>
      <c r="C342" t="s">
        <v>654</v>
      </c>
      <c r="D342" s="2" t="s">
        <v>650</v>
      </c>
      <c r="E342" t="str">
        <f>_xlfn.XLOOKUP(B342,Laitetyypit!A:A,Laitetyypit!B:B,"ei")</f>
        <v>Thingsee PRESENCE</v>
      </c>
      <c r="F342" t="s">
        <v>659</v>
      </c>
      <c r="G342" s="3">
        <v>0.4</v>
      </c>
      <c r="H342" s="2">
        <v>46111.433240740742</v>
      </c>
      <c r="L342">
        <v>112079566</v>
      </c>
      <c r="M342" t="s">
        <v>778</v>
      </c>
      <c r="N342" t="s">
        <v>827</v>
      </c>
      <c r="O342" t="s">
        <v>787</v>
      </c>
      <c r="P342" s="1" t="s">
        <v>667</v>
      </c>
      <c r="Q342">
        <v>2</v>
      </c>
      <c r="R342" t="s">
        <v>670</v>
      </c>
      <c r="S342" t="s">
        <v>787</v>
      </c>
    </row>
    <row r="343" spans="1:19" x14ac:dyDescent="0.25">
      <c r="A343" t="s">
        <v>306</v>
      </c>
      <c r="B343" t="s">
        <v>367</v>
      </c>
      <c r="C343" t="s">
        <v>654</v>
      </c>
      <c r="D343" s="2" t="s">
        <v>650</v>
      </c>
      <c r="E343" t="str">
        <f>_xlfn.XLOOKUP(B343,Laitetyypit!A:A,Laitetyypit!B:B,"ei")</f>
        <v>Thingsee PRESENCE</v>
      </c>
      <c r="F343" t="s">
        <v>659</v>
      </c>
      <c r="G343" s="3">
        <v>0.96</v>
      </c>
      <c r="H343" s="2">
        <v>46164.554027777776</v>
      </c>
      <c r="L343">
        <v>112079567</v>
      </c>
      <c r="M343" t="s">
        <v>779</v>
      </c>
      <c r="N343" t="s">
        <v>827</v>
      </c>
      <c r="O343" t="s">
        <v>787</v>
      </c>
      <c r="P343" s="1" t="s">
        <v>667</v>
      </c>
      <c r="Q343">
        <v>2</v>
      </c>
      <c r="R343" t="s">
        <v>670</v>
      </c>
      <c r="S343" t="s">
        <v>787</v>
      </c>
    </row>
    <row r="344" spans="1:19" x14ac:dyDescent="0.25">
      <c r="A344" t="s">
        <v>305</v>
      </c>
      <c r="B344" t="s">
        <v>367</v>
      </c>
      <c r="C344" t="s">
        <v>654</v>
      </c>
      <c r="D344" s="2" t="s">
        <v>650</v>
      </c>
      <c r="E344" t="str">
        <f>_xlfn.XLOOKUP(B344,Laitetyypit!A:A,Laitetyypit!B:B,"ei")</f>
        <v>Thingsee PRESENCE</v>
      </c>
      <c r="F344" t="s">
        <v>659</v>
      </c>
      <c r="G344" s="3">
        <v>0</v>
      </c>
      <c r="H344" s="2">
        <v>46138.792685185188</v>
      </c>
      <c r="L344">
        <v>112079568</v>
      </c>
      <c r="M344" t="s">
        <v>780</v>
      </c>
      <c r="N344" t="s">
        <v>827</v>
      </c>
      <c r="O344" t="s">
        <v>787</v>
      </c>
      <c r="P344" s="1" t="s">
        <v>667</v>
      </c>
      <c r="Q344">
        <v>2</v>
      </c>
      <c r="R344" t="s">
        <v>670</v>
      </c>
      <c r="S344" t="s">
        <v>787</v>
      </c>
    </row>
    <row r="345" spans="1:19" x14ac:dyDescent="0.25">
      <c r="A345" t="s">
        <v>318</v>
      </c>
      <c r="B345" t="s">
        <v>213</v>
      </c>
      <c r="C345" t="s">
        <v>654</v>
      </c>
      <c r="D345" s="2" t="s">
        <v>650</v>
      </c>
      <c r="E345" t="str">
        <f>_xlfn.XLOOKUP(B345,Laitetyypit!A:A,Laitetyypit!B:B,"ei")</f>
        <v>Thingsee BEAM</v>
      </c>
      <c r="F345" t="s">
        <v>659</v>
      </c>
      <c r="G345" s="3">
        <v>0.94</v>
      </c>
      <c r="H345" s="2">
        <v>46164.519976851851</v>
      </c>
      <c r="L345">
        <v>112079569</v>
      </c>
      <c r="M345" t="s">
        <v>781</v>
      </c>
      <c r="N345" t="s">
        <v>827</v>
      </c>
      <c r="O345" t="s">
        <v>787</v>
      </c>
      <c r="P345" s="1" t="s">
        <v>668</v>
      </c>
      <c r="Q345">
        <v>2</v>
      </c>
      <c r="R345" t="s">
        <v>670</v>
      </c>
      <c r="S345" t="s">
        <v>787</v>
      </c>
    </row>
    <row r="346" spans="1:19" x14ac:dyDescent="0.25">
      <c r="A346" t="s">
        <v>310</v>
      </c>
      <c r="B346" t="s">
        <v>213</v>
      </c>
      <c r="C346" t="s">
        <v>654</v>
      </c>
      <c r="D346" s="2" t="s">
        <v>650</v>
      </c>
      <c r="E346" t="str">
        <f>_xlfn.XLOOKUP(B346,Laitetyypit!A:A,Laitetyypit!B:B,"ei")</f>
        <v>Thingsee BEAM</v>
      </c>
      <c r="F346" t="s">
        <v>659</v>
      </c>
      <c r="G346" s="3">
        <v>0.95</v>
      </c>
      <c r="H346" s="2">
        <v>46164.535277777781</v>
      </c>
      <c r="L346">
        <v>112079570</v>
      </c>
      <c r="M346" t="s">
        <v>782</v>
      </c>
      <c r="N346" t="s">
        <v>827</v>
      </c>
      <c r="O346" t="s">
        <v>787</v>
      </c>
      <c r="P346" s="1" t="s">
        <v>668</v>
      </c>
      <c r="Q346">
        <v>2</v>
      </c>
      <c r="R346" t="s">
        <v>670</v>
      </c>
      <c r="S346" t="s">
        <v>787</v>
      </c>
    </row>
    <row r="347" spans="1:19" x14ac:dyDescent="0.25">
      <c r="A347" t="s">
        <v>369</v>
      </c>
      <c r="B347" t="s">
        <v>213</v>
      </c>
      <c r="C347" t="s">
        <v>654</v>
      </c>
      <c r="D347" s="2" t="s">
        <v>650</v>
      </c>
      <c r="E347" t="str">
        <f>_xlfn.XLOOKUP(B347,Laitetyypit!A:A,Laitetyypit!B:B,"ei")</f>
        <v>Thingsee BEAM</v>
      </c>
      <c r="F347" t="s">
        <v>659</v>
      </c>
      <c r="G347" s="3">
        <v>0.93</v>
      </c>
      <c r="H347" s="2">
        <v>46164.549351851849</v>
      </c>
      <c r="L347">
        <v>112079574</v>
      </c>
      <c r="M347" t="s">
        <v>783</v>
      </c>
      <c r="N347" t="s">
        <v>827</v>
      </c>
      <c r="O347" t="s">
        <v>787</v>
      </c>
      <c r="P347" s="1" t="s">
        <v>668</v>
      </c>
      <c r="Q347">
        <v>2</v>
      </c>
      <c r="R347" t="s">
        <v>670</v>
      </c>
      <c r="S347" t="s">
        <v>787</v>
      </c>
    </row>
    <row r="348" spans="1:19" x14ac:dyDescent="0.25">
      <c r="A348" t="s">
        <v>363</v>
      </c>
      <c r="B348" t="s">
        <v>213</v>
      </c>
      <c r="C348" t="s">
        <v>654</v>
      </c>
      <c r="D348" s="2" t="s">
        <v>650</v>
      </c>
      <c r="E348" t="str">
        <f>_xlfn.XLOOKUP(B348,Laitetyypit!A:A,Laitetyypit!B:B,"ei")</f>
        <v>Thingsee BEAM</v>
      </c>
      <c r="F348" t="s">
        <v>659</v>
      </c>
      <c r="G348" s="3">
        <v>0.94</v>
      </c>
      <c r="H348" s="2">
        <v>46164.542187500003</v>
      </c>
      <c r="L348">
        <v>112079575</v>
      </c>
      <c r="M348" t="s">
        <v>784</v>
      </c>
      <c r="N348" t="s">
        <v>827</v>
      </c>
      <c r="O348" t="s">
        <v>787</v>
      </c>
      <c r="P348" s="1" t="s">
        <v>668</v>
      </c>
      <c r="Q348">
        <v>2</v>
      </c>
      <c r="R348" t="s">
        <v>670</v>
      </c>
      <c r="S348" t="s">
        <v>787</v>
      </c>
    </row>
    <row r="349" spans="1:19" x14ac:dyDescent="0.25">
      <c r="A349" t="s">
        <v>313</v>
      </c>
      <c r="B349" t="s">
        <v>213</v>
      </c>
      <c r="C349" t="s">
        <v>654</v>
      </c>
      <c r="D349" s="2" t="s">
        <v>650</v>
      </c>
      <c r="E349" t="str">
        <f>_xlfn.XLOOKUP(B349,Laitetyypit!A:A,Laitetyypit!B:B,"ei")</f>
        <v>Thingsee BEAM</v>
      </c>
      <c r="F349" t="s">
        <v>659</v>
      </c>
      <c r="G349" s="3">
        <v>0.93</v>
      </c>
      <c r="H349" s="2">
        <v>46164.537731481483</v>
      </c>
      <c r="L349">
        <v>112079578</v>
      </c>
      <c r="M349" t="s">
        <v>785</v>
      </c>
      <c r="N349" t="s">
        <v>827</v>
      </c>
      <c r="O349" t="s">
        <v>787</v>
      </c>
      <c r="P349" s="1" t="s">
        <v>668</v>
      </c>
      <c r="Q349">
        <v>2</v>
      </c>
      <c r="R349" t="s">
        <v>670</v>
      </c>
      <c r="S349" t="s">
        <v>787</v>
      </c>
    </row>
    <row r="350" spans="1:19" x14ac:dyDescent="0.25">
      <c r="A350" t="s">
        <v>321</v>
      </c>
      <c r="B350" t="s">
        <v>213</v>
      </c>
      <c r="C350" t="s">
        <v>654</v>
      </c>
      <c r="D350" s="2" t="s">
        <v>650</v>
      </c>
      <c r="E350" t="str">
        <f>_xlfn.XLOOKUP(B350,Laitetyypit!A:A,Laitetyypit!B:B,"ei")</f>
        <v>Thingsee BEAM</v>
      </c>
      <c r="F350" t="s">
        <v>659</v>
      </c>
      <c r="G350" s="3">
        <v>0.93</v>
      </c>
      <c r="H350" s="2">
        <v>46164.546944444446</v>
      </c>
      <c r="L350">
        <v>112079579</v>
      </c>
      <c r="M350" t="s">
        <v>786</v>
      </c>
      <c r="N350" t="s">
        <v>827</v>
      </c>
      <c r="O350" t="s">
        <v>787</v>
      </c>
      <c r="P350" s="1" t="s">
        <v>668</v>
      </c>
      <c r="Q350">
        <v>2</v>
      </c>
      <c r="R350" t="s">
        <v>670</v>
      </c>
      <c r="S350" t="s">
        <v>787</v>
      </c>
    </row>
    <row r="351" spans="1:19" x14ac:dyDescent="0.25">
      <c r="A351" t="s">
        <v>314</v>
      </c>
      <c r="B351" t="s">
        <v>213</v>
      </c>
      <c r="C351" t="s">
        <v>654</v>
      </c>
      <c r="D351" s="2" t="s">
        <v>650</v>
      </c>
      <c r="E351" t="str">
        <f>_xlfn.XLOOKUP(B351,Laitetyypit!A:A,Laitetyypit!B:B,"ei")</f>
        <v>Thingsee BEAM</v>
      </c>
      <c r="F351" t="s">
        <v>659</v>
      </c>
      <c r="G351" s="3">
        <v>0.95</v>
      </c>
      <c r="H351" s="2">
        <v>46164.554178240738</v>
      </c>
      <c r="L351">
        <v>112079580</v>
      </c>
      <c r="M351" t="s">
        <v>788</v>
      </c>
      <c r="N351" t="s">
        <v>827</v>
      </c>
      <c r="O351" t="s">
        <v>787</v>
      </c>
      <c r="P351" s="1" t="s">
        <v>668</v>
      </c>
      <c r="Q351">
        <v>2</v>
      </c>
      <c r="R351" t="s">
        <v>670</v>
      </c>
      <c r="S351" t="s">
        <v>787</v>
      </c>
    </row>
    <row r="352" spans="1:19" x14ac:dyDescent="0.25">
      <c r="A352" t="s">
        <v>324</v>
      </c>
      <c r="B352" t="s">
        <v>213</v>
      </c>
      <c r="C352" t="s">
        <v>654</v>
      </c>
      <c r="D352" s="2" t="s">
        <v>650</v>
      </c>
      <c r="E352" t="str">
        <f>_xlfn.XLOOKUP(B352,Laitetyypit!A:A,Laitetyypit!B:B,"ei")</f>
        <v>Thingsee BEAM</v>
      </c>
      <c r="F352" t="s">
        <v>659</v>
      </c>
      <c r="G352" s="3">
        <v>0.91</v>
      </c>
      <c r="H352" s="2">
        <v>46164.535682870373</v>
      </c>
      <c r="L352">
        <v>112079581</v>
      </c>
      <c r="M352" t="s">
        <v>789</v>
      </c>
      <c r="N352" t="s">
        <v>827</v>
      </c>
      <c r="O352" t="s">
        <v>787</v>
      </c>
      <c r="P352" s="1" t="s">
        <v>668</v>
      </c>
      <c r="Q352">
        <v>2</v>
      </c>
      <c r="R352" t="s">
        <v>670</v>
      </c>
      <c r="S352" t="s">
        <v>787</v>
      </c>
    </row>
    <row r="353" spans="1:19" x14ac:dyDescent="0.25">
      <c r="A353" t="s">
        <v>304</v>
      </c>
      <c r="B353" t="s">
        <v>367</v>
      </c>
      <c r="C353" t="s">
        <v>654</v>
      </c>
      <c r="D353" s="2" t="s">
        <v>650</v>
      </c>
      <c r="E353" t="str">
        <f>_xlfn.XLOOKUP(B353,Laitetyypit!A:A,Laitetyypit!B:B,"ei")</f>
        <v>Thingsee PRESENCE</v>
      </c>
      <c r="F353" t="s">
        <v>659</v>
      </c>
      <c r="G353" s="3">
        <v>0</v>
      </c>
      <c r="H353" s="2">
        <v>46129.697800925926</v>
      </c>
      <c r="L353">
        <v>112079582</v>
      </c>
      <c r="M353" t="s">
        <v>790</v>
      </c>
      <c r="N353" t="s">
        <v>827</v>
      </c>
      <c r="O353" t="s">
        <v>791</v>
      </c>
      <c r="P353" s="1" t="s">
        <v>667</v>
      </c>
      <c r="Q353">
        <v>2</v>
      </c>
      <c r="R353" t="s">
        <v>670</v>
      </c>
      <c r="S353" t="s">
        <v>791</v>
      </c>
    </row>
    <row r="354" spans="1:19" x14ac:dyDescent="0.25">
      <c r="A354" t="s">
        <v>309</v>
      </c>
      <c r="B354" t="s">
        <v>367</v>
      </c>
      <c r="C354" t="s">
        <v>654</v>
      </c>
      <c r="D354" s="2" t="s">
        <v>650</v>
      </c>
      <c r="E354" t="str">
        <f>_xlfn.XLOOKUP(B354,Laitetyypit!A:A,Laitetyypit!B:B,"ei")</f>
        <v>Thingsee PRESENCE</v>
      </c>
      <c r="F354" t="s">
        <v>659</v>
      </c>
      <c r="G354" s="3">
        <v>0.4</v>
      </c>
      <c r="H354" s="2">
        <v>46164.543715277781</v>
      </c>
      <c r="L354">
        <v>112079583</v>
      </c>
      <c r="M354" t="s">
        <v>792</v>
      </c>
      <c r="N354" t="s">
        <v>827</v>
      </c>
      <c r="O354" t="s">
        <v>791</v>
      </c>
      <c r="P354" s="1" t="s">
        <v>667</v>
      </c>
      <c r="Q354">
        <v>2</v>
      </c>
      <c r="R354" t="s">
        <v>670</v>
      </c>
      <c r="S354" t="s">
        <v>791</v>
      </c>
    </row>
    <row r="355" spans="1:19" x14ac:dyDescent="0.25">
      <c r="A355" t="s">
        <v>320</v>
      </c>
      <c r="B355" t="s">
        <v>213</v>
      </c>
      <c r="C355" t="s">
        <v>654</v>
      </c>
      <c r="D355" s="2" t="s">
        <v>650</v>
      </c>
      <c r="E355" t="str">
        <f>_xlfn.XLOOKUP(B355,Laitetyypit!A:A,Laitetyypit!B:B,"ei")</f>
        <v>Thingsee BEAM</v>
      </c>
      <c r="F355" t="s">
        <v>659</v>
      </c>
      <c r="G355" s="3">
        <v>0.95</v>
      </c>
      <c r="H355" s="2">
        <v>46164.556076388886</v>
      </c>
      <c r="L355">
        <v>112079584</v>
      </c>
      <c r="M355" t="s">
        <v>793</v>
      </c>
      <c r="N355" t="s">
        <v>827</v>
      </c>
      <c r="O355" t="s">
        <v>791</v>
      </c>
      <c r="P355" s="1" t="s">
        <v>668</v>
      </c>
      <c r="Q355">
        <v>2</v>
      </c>
      <c r="R355" t="s">
        <v>670</v>
      </c>
      <c r="S355" t="s">
        <v>791</v>
      </c>
    </row>
    <row r="356" spans="1:19" x14ac:dyDescent="0.25">
      <c r="A356" t="s">
        <v>317</v>
      </c>
      <c r="B356" t="s">
        <v>213</v>
      </c>
      <c r="C356" t="s">
        <v>654</v>
      </c>
      <c r="D356" s="2" t="s">
        <v>650</v>
      </c>
      <c r="E356" t="str">
        <f>_xlfn.XLOOKUP(B356,Laitetyypit!A:A,Laitetyypit!B:B,"ei")</f>
        <v>Thingsee BEAM</v>
      </c>
      <c r="F356" t="s">
        <v>659</v>
      </c>
      <c r="G356" s="3">
        <v>0.94</v>
      </c>
      <c r="H356" s="2">
        <v>46164.541354166664</v>
      </c>
      <c r="L356">
        <v>112079585</v>
      </c>
      <c r="M356" t="s">
        <v>794</v>
      </c>
      <c r="N356" t="s">
        <v>827</v>
      </c>
      <c r="O356" t="s">
        <v>791</v>
      </c>
      <c r="P356" s="1" t="s">
        <v>668</v>
      </c>
      <c r="Q356">
        <v>2</v>
      </c>
      <c r="R356" t="s">
        <v>670</v>
      </c>
      <c r="S356" t="s">
        <v>791</v>
      </c>
    </row>
    <row r="357" spans="1:19" x14ac:dyDescent="0.25">
      <c r="A357" t="s">
        <v>323</v>
      </c>
      <c r="B357" t="s">
        <v>213</v>
      </c>
      <c r="C357" t="s">
        <v>654</v>
      </c>
      <c r="D357" s="2" t="s">
        <v>650</v>
      </c>
      <c r="E357" t="str">
        <f>_xlfn.XLOOKUP(B357,Laitetyypit!A:A,Laitetyypit!B:B,"ei")</f>
        <v>Thingsee BEAM</v>
      </c>
      <c r="F357" t="s">
        <v>659</v>
      </c>
      <c r="G357" s="3">
        <v>0.95</v>
      </c>
      <c r="H357" s="2">
        <v>46164.535405092596</v>
      </c>
      <c r="L357">
        <v>112079586</v>
      </c>
      <c r="M357" t="s">
        <v>795</v>
      </c>
      <c r="N357" t="s">
        <v>827</v>
      </c>
      <c r="O357" t="s">
        <v>791</v>
      </c>
      <c r="P357" s="1" t="s">
        <v>668</v>
      </c>
      <c r="Q357">
        <v>2</v>
      </c>
      <c r="R357" t="s">
        <v>670</v>
      </c>
      <c r="S357" t="s">
        <v>791</v>
      </c>
    </row>
    <row r="358" spans="1:19" x14ac:dyDescent="0.25">
      <c r="A358" t="s">
        <v>319</v>
      </c>
      <c r="B358" t="s">
        <v>213</v>
      </c>
      <c r="C358" t="s">
        <v>654</v>
      </c>
      <c r="D358" s="2" t="s">
        <v>650</v>
      </c>
      <c r="E358" t="str">
        <f>_xlfn.XLOOKUP(B358,Laitetyypit!A:A,Laitetyypit!B:B,"ei")</f>
        <v>Thingsee BEAM</v>
      </c>
      <c r="F358" t="s">
        <v>659</v>
      </c>
      <c r="G358" s="3">
        <v>0.94</v>
      </c>
      <c r="H358" s="2">
        <v>46164.548576388886</v>
      </c>
      <c r="L358">
        <v>112079587</v>
      </c>
      <c r="M358" t="s">
        <v>796</v>
      </c>
      <c r="N358" t="s">
        <v>827</v>
      </c>
      <c r="O358" t="s">
        <v>791</v>
      </c>
      <c r="P358" s="1" t="s">
        <v>668</v>
      </c>
      <c r="Q358">
        <v>2</v>
      </c>
      <c r="R358" t="s">
        <v>670</v>
      </c>
      <c r="S358" t="s">
        <v>791</v>
      </c>
    </row>
    <row r="359" spans="1:19" x14ac:dyDescent="0.25">
      <c r="A359" t="s">
        <v>315</v>
      </c>
      <c r="B359" t="s">
        <v>213</v>
      </c>
      <c r="C359" t="s">
        <v>654</v>
      </c>
      <c r="D359" s="2" t="s">
        <v>650</v>
      </c>
      <c r="E359" t="str">
        <f>_xlfn.XLOOKUP(B359,Laitetyypit!A:A,Laitetyypit!B:B,"ei")</f>
        <v>Thingsee BEAM</v>
      </c>
      <c r="F359" t="s">
        <v>659</v>
      </c>
      <c r="G359" s="3">
        <v>0.95</v>
      </c>
      <c r="H359" s="2">
        <v>46164.555810185186</v>
      </c>
      <c r="L359">
        <v>112079588</v>
      </c>
      <c r="M359" t="s">
        <v>797</v>
      </c>
      <c r="N359" t="s">
        <v>827</v>
      </c>
      <c r="O359" t="s">
        <v>791</v>
      </c>
      <c r="P359" s="1" t="s">
        <v>668</v>
      </c>
      <c r="Q359">
        <v>2</v>
      </c>
      <c r="R359" t="s">
        <v>670</v>
      </c>
      <c r="S359" t="s">
        <v>791</v>
      </c>
    </row>
    <row r="360" spans="1:19" x14ac:dyDescent="0.25">
      <c r="A360" t="s">
        <v>316</v>
      </c>
      <c r="B360" t="s">
        <v>213</v>
      </c>
      <c r="C360" t="s">
        <v>654</v>
      </c>
      <c r="D360" s="2" t="s">
        <v>650</v>
      </c>
      <c r="E360" t="str">
        <f>_xlfn.XLOOKUP(B360,Laitetyypit!A:A,Laitetyypit!B:B,"ei")</f>
        <v>Thingsee BEAM</v>
      </c>
      <c r="F360" t="s">
        <v>659</v>
      </c>
      <c r="G360" s="3">
        <v>0.92</v>
      </c>
      <c r="H360" s="2">
        <v>46164.544745370367</v>
      </c>
      <c r="L360">
        <v>112079589</v>
      </c>
      <c r="M360" t="s">
        <v>798</v>
      </c>
      <c r="N360" t="s">
        <v>827</v>
      </c>
      <c r="O360" t="s">
        <v>791</v>
      </c>
      <c r="P360" s="1" t="s">
        <v>668</v>
      </c>
      <c r="Q360">
        <v>2</v>
      </c>
      <c r="R360" t="s">
        <v>670</v>
      </c>
      <c r="S360" t="s">
        <v>791</v>
      </c>
    </row>
    <row r="361" spans="1:19" x14ac:dyDescent="0.25">
      <c r="A361" t="s">
        <v>312</v>
      </c>
      <c r="B361" t="s">
        <v>213</v>
      </c>
      <c r="C361" t="s">
        <v>654</v>
      </c>
      <c r="D361" s="2" t="s">
        <v>650</v>
      </c>
      <c r="E361" t="str">
        <f>_xlfn.XLOOKUP(B361,Laitetyypit!A:A,Laitetyypit!B:B,"ei")</f>
        <v>Thingsee BEAM</v>
      </c>
      <c r="F361" t="s">
        <v>659</v>
      </c>
      <c r="G361" s="3">
        <v>0.93</v>
      </c>
      <c r="H361" s="2">
        <v>46164.553379629629</v>
      </c>
      <c r="L361">
        <v>112079590</v>
      </c>
      <c r="M361" t="s">
        <v>799</v>
      </c>
      <c r="N361" t="s">
        <v>827</v>
      </c>
      <c r="O361" t="s">
        <v>791</v>
      </c>
      <c r="P361" s="1" t="s">
        <v>668</v>
      </c>
      <c r="Q361">
        <v>2</v>
      </c>
      <c r="R361" t="s">
        <v>670</v>
      </c>
      <c r="S361" t="s">
        <v>791</v>
      </c>
    </row>
    <row r="362" spans="1:19" x14ac:dyDescent="0.25">
      <c r="A362" t="s">
        <v>322</v>
      </c>
      <c r="B362" t="s">
        <v>213</v>
      </c>
      <c r="C362" t="s">
        <v>654</v>
      </c>
      <c r="D362" s="2" t="s">
        <v>650</v>
      </c>
      <c r="E362" t="str">
        <f>_xlfn.XLOOKUP(B362,Laitetyypit!A:A,Laitetyypit!B:B,"ei")</f>
        <v>Thingsee BEAM</v>
      </c>
      <c r="F362" t="s">
        <v>659</v>
      </c>
      <c r="G362" s="3">
        <v>0.2</v>
      </c>
      <c r="H362" s="2">
        <v>45821.32539351852</v>
      </c>
      <c r="L362">
        <v>112079591</v>
      </c>
      <c r="M362" t="s">
        <v>800</v>
      </c>
      <c r="N362" t="s">
        <v>827</v>
      </c>
      <c r="O362" t="s">
        <v>791</v>
      </c>
      <c r="P362" s="1" t="s">
        <v>668</v>
      </c>
      <c r="Q362">
        <v>2</v>
      </c>
      <c r="R362" t="s">
        <v>670</v>
      </c>
      <c r="S362" t="s">
        <v>791</v>
      </c>
    </row>
    <row r="363" spans="1:19" x14ac:dyDescent="0.25">
      <c r="A363" t="s">
        <v>311</v>
      </c>
      <c r="B363" t="s">
        <v>213</v>
      </c>
      <c r="C363" t="s">
        <v>654</v>
      </c>
      <c r="D363" s="2" t="s">
        <v>650</v>
      </c>
      <c r="E363" t="str">
        <f>_xlfn.XLOOKUP(B363,Laitetyypit!A:A,Laitetyypit!B:B,"ei")</f>
        <v>Thingsee BEAM</v>
      </c>
      <c r="F363" t="s">
        <v>659</v>
      </c>
      <c r="G363" s="3">
        <v>0.93</v>
      </c>
      <c r="H363" s="2">
        <v>46164.550949074073</v>
      </c>
      <c r="L363">
        <v>112079592</v>
      </c>
      <c r="M363" t="s">
        <v>801</v>
      </c>
      <c r="N363" t="s">
        <v>827</v>
      </c>
      <c r="O363" t="s">
        <v>791</v>
      </c>
      <c r="P363" s="1" t="s">
        <v>668</v>
      </c>
      <c r="Q363">
        <v>2</v>
      </c>
      <c r="R363" t="s">
        <v>670</v>
      </c>
      <c r="S363" t="s">
        <v>791</v>
      </c>
    </row>
    <row r="364" spans="1:19" x14ac:dyDescent="0.25">
      <c r="A364" t="s">
        <v>348</v>
      </c>
      <c r="B364" t="s">
        <v>213</v>
      </c>
      <c r="C364" t="s">
        <v>654</v>
      </c>
      <c r="D364" s="2" t="s">
        <v>650</v>
      </c>
      <c r="E364" t="str">
        <f>_xlfn.XLOOKUP(B364,Laitetyypit!A:A,Laitetyypit!B:B,"ei")</f>
        <v>Thingsee BEAM</v>
      </c>
      <c r="F364" t="s">
        <v>659</v>
      </c>
      <c r="G364" s="3">
        <v>0.88</v>
      </c>
      <c r="H364" s="2">
        <v>46164.537268518521</v>
      </c>
      <c r="L364">
        <v>112083597</v>
      </c>
      <c r="M364" t="s">
        <v>802</v>
      </c>
      <c r="N364" t="s">
        <v>827</v>
      </c>
      <c r="O364" t="s">
        <v>671</v>
      </c>
      <c r="P364" s="1" t="s">
        <v>668</v>
      </c>
      <c r="Q364">
        <v>1</v>
      </c>
      <c r="R364" t="s">
        <v>670</v>
      </c>
      <c r="S364" t="s">
        <v>671</v>
      </c>
    </row>
    <row r="365" spans="1:19" x14ac:dyDescent="0.25">
      <c r="A365" t="s">
        <v>328</v>
      </c>
      <c r="B365" t="s">
        <v>213</v>
      </c>
      <c r="C365" t="s">
        <v>654</v>
      </c>
      <c r="D365" s="2" t="s">
        <v>650</v>
      </c>
      <c r="E365" t="str">
        <f>_xlfn.XLOOKUP(B365,Laitetyypit!A:A,Laitetyypit!B:B,"ei")</f>
        <v>Thingsee BEAM</v>
      </c>
      <c r="F365" t="s">
        <v>659</v>
      </c>
      <c r="G365" s="3">
        <v>0.89</v>
      </c>
      <c r="H365" s="2">
        <v>46164.553333333337</v>
      </c>
      <c r="L365">
        <v>112083598</v>
      </c>
      <c r="M365" t="s">
        <v>803</v>
      </c>
      <c r="N365" t="s">
        <v>827</v>
      </c>
      <c r="O365" t="s">
        <v>671</v>
      </c>
      <c r="P365" s="1" t="s">
        <v>668</v>
      </c>
      <c r="Q365">
        <v>1</v>
      </c>
      <c r="R365" t="s">
        <v>670</v>
      </c>
      <c r="S365" t="s">
        <v>671</v>
      </c>
    </row>
    <row r="366" spans="1:19" x14ac:dyDescent="0.25">
      <c r="A366" t="s">
        <v>327</v>
      </c>
      <c r="B366" t="s">
        <v>213</v>
      </c>
      <c r="C366" t="s">
        <v>654</v>
      </c>
      <c r="D366" s="2" t="s">
        <v>650</v>
      </c>
      <c r="E366" t="str">
        <f>_xlfn.XLOOKUP(B366,Laitetyypit!A:A,Laitetyypit!B:B,"ei")</f>
        <v>Thingsee BEAM</v>
      </c>
      <c r="F366" t="s">
        <v>659</v>
      </c>
      <c r="G366" s="3">
        <v>0.89</v>
      </c>
      <c r="H366" s="2">
        <v>46164.546574074076</v>
      </c>
      <c r="L366">
        <v>112083599</v>
      </c>
      <c r="M366" t="s">
        <v>804</v>
      </c>
      <c r="N366" t="s">
        <v>827</v>
      </c>
      <c r="O366" t="s">
        <v>671</v>
      </c>
      <c r="P366" s="1" t="s">
        <v>668</v>
      </c>
      <c r="Q366">
        <v>1</v>
      </c>
      <c r="R366" t="s">
        <v>670</v>
      </c>
      <c r="S366" t="s">
        <v>671</v>
      </c>
    </row>
    <row r="367" spans="1:19" x14ac:dyDescent="0.25">
      <c r="A367" t="s">
        <v>326</v>
      </c>
      <c r="B367" t="s">
        <v>213</v>
      </c>
      <c r="C367" t="s">
        <v>654</v>
      </c>
      <c r="D367" s="2" t="s">
        <v>650</v>
      </c>
      <c r="E367" t="str">
        <f>_xlfn.XLOOKUP(B367,Laitetyypit!A:A,Laitetyypit!B:B,"ei")</f>
        <v>Thingsee BEAM</v>
      </c>
      <c r="F367" t="s">
        <v>659</v>
      </c>
      <c r="G367" s="3">
        <v>0.89</v>
      </c>
      <c r="H367" s="2">
        <v>46164.554363425923</v>
      </c>
      <c r="L367">
        <v>112083600</v>
      </c>
      <c r="M367" t="s">
        <v>805</v>
      </c>
      <c r="N367" t="s">
        <v>827</v>
      </c>
      <c r="O367" t="s">
        <v>671</v>
      </c>
      <c r="P367" s="1" t="s">
        <v>668</v>
      </c>
      <c r="Q367">
        <v>1</v>
      </c>
      <c r="R367" t="s">
        <v>670</v>
      </c>
      <c r="S367" t="s">
        <v>671</v>
      </c>
    </row>
    <row r="368" spans="1:19" x14ac:dyDescent="0.25">
      <c r="A368" t="s">
        <v>325</v>
      </c>
      <c r="B368" t="s">
        <v>213</v>
      </c>
      <c r="C368" t="s">
        <v>654</v>
      </c>
      <c r="D368" s="2" t="s">
        <v>650</v>
      </c>
      <c r="E368" t="str">
        <f>_xlfn.XLOOKUP(B368,Laitetyypit!A:A,Laitetyypit!B:B,"ei")</f>
        <v>Thingsee BEAM</v>
      </c>
      <c r="F368" t="s">
        <v>659</v>
      </c>
      <c r="G368" s="3">
        <v>0.88</v>
      </c>
      <c r="H368" s="2">
        <v>46164.555092592593</v>
      </c>
      <c r="L368">
        <v>112083601</v>
      </c>
      <c r="M368" t="s">
        <v>806</v>
      </c>
      <c r="N368" t="s">
        <v>827</v>
      </c>
      <c r="O368" t="s">
        <v>671</v>
      </c>
      <c r="P368" s="1" t="s">
        <v>668</v>
      </c>
      <c r="Q368">
        <v>1</v>
      </c>
      <c r="R368" t="s">
        <v>670</v>
      </c>
      <c r="S368" t="s">
        <v>671</v>
      </c>
    </row>
    <row r="369" spans="1:19" x14ac:dyDescent="0.25">
      <c r="A369" t="s">
        <v>333</v>
      </c>
      <c r="B369" t="s">
        <v>213</v>
      </c>
      <c r="C369" t="s">
        <v>654</v>
      </c>
      <c r="D369" s="2" t="s">
        <v>650</v>
      </c>
      <c r="E369" t="str">
        <f>_xlfn.XLOOKUP(B369,Laitetyypit!A:A,Laitetyypit!B:B,"ei")</f>
        <v>Thingsee BEAM</v>
      </c>
      <c r="F369" t="s">
        <v>659</v>
      </c>
      <c r="G369" s="3">
        <v>0.89</v>
      </c>
      <c r="H369" s="2">
        <v>46164.556030092594</v>
      </c>
      <c r="L369">
        <v>112083602</v>
      </c>
      <c r="M369" t="s">
        <v>807</v>
      </c>
      <c r="N369" t="s">
        <v>827</v>
      </c>
      <c r="O369" t="s">
        <v>671</v>
      </c>
      <c r="P369" s="1" t="s">
        <v>668</v>
      </c>
      <c r="Q369">
        <v>1</v>
      </c>
      <c r="R369" t="s">
        <v>670</v>
      </c>
      <c r="S369" t="s">
        <v>671</v>
      </c>
    </row>
    <row r="370" spans="1:19" x14ac:dyDescent="0.25">
      <c r="A370" t="s">
        <v>332</v>
      </c>
      <c r="B370" t="s">
        <v>213</v>
      </c>
      <c r="C370" t="s">
        <v>654</v>
      </c>
      <c r="D370" s="2" t="s">
        <v>650</v>
      </c>
      <c r="E370" t="str">
        <f>_xlfn.XLOOKUP(B370,Laitetyypit!A:A,Laitetyypit!B:B,"ei")</f>
        <v>Thingsee BEAM</v>
      </c>
      <c r="F370" t="s">
        <v>659</v>
      </c>
      <c r="G370" s="3">
        <v>0.88</v>
      </c>
      <c r="H370" s="2">
        <v>46164.554849537039</v>
      </c>
      <c r="L370">
        <v>112083603</v>
      </c>
      <c r="M370" t="s">
        <v>808</v>
      </c>
      <c r="N370" t="s">
        <v>827</v>
      </c>
      <c r="O370" t="s">
        <v>671</v>
      </c>
      <c r="P370" s="1" t="s">
        <v>668</v>
      </c>
      <c r="Q370">
        <v>1</v>
      </c>
      <c r="R370" t="s">
        <v>670</v>
      </c>
      <c r="S370" t="s">
        <v>671</v>
      </c>
    </row>
    <row r="371" spans="1:19" x14ac:dyDescent="0.25">
      <c r="A371" t="s">
        <v>331</v>
      </c>
      <c r="B371" t="s">
        <v>213</v>
      </c>
      <c r="C371" t="s">
        <v>654</v>
      </c>
      <c r="D371" s="2" t="s">
        <v>650</v>
      </c>
      <c r="E371" t="str">
        <f>_xlfn.XLOOKUP(B371,Laitetyypit!A:A,Laitetyypit!B:B,"ei")</f>
        <v>Thingsee BEAM</v>
      </c>
      <c r="F371" t="s">
        <v>659</v>
      </c>
      <c r="G371" s="3">
        <v>0.9</v>
      </c>
      <c r="H371" s="2">
        <v>46164.533101851855</v>
      </c>
      <c r="L371">
        <v>112083604</v>
      </c>
      <c r="M371" t="s">
        <v>809</v>
      </c>
      <c r="N371" t="s">
        <v>827</v>
      </c>
      <c r="O371" t="s">
        <v>671</v>
      </c>
      <c r="P371" s="1" t="s">
        <v>668</v>
      </c>
      <c r="Q371">
        <v>1</v>
      </c>
      <c r="R371" t="s">
        <v>670</v>
      </c>
      <c r="S371" t="s">
        <v>671</v>
      </c>
    </row>
    <row r="372" spans="1:19" x14ac:dyDescent="0.25">
      <c r="A372" t="s">
        <v>330</v>
      </c>
      <c r="B372" t="s">
        <v>213</v>
      </c>
      <c r="C372" t="s">
        <v>654</v>
      </c>
      <c r="D372" s="2" t="s">
        <v>650</v>
      </c>
      <c r="E372" t="str">
        <f>_xlfn.XLOOKUP(B372,Laitetyypit!A:A,Laitetyypit!B:B,"ei")</f>
        <v>Thingsee BEAM</v>
      </c>
      <c r="F372" t="s">
        <v>659</v>
      </c>
      <c r="G372" s="3">
        <v>0.89</v>
      </c>
      <c r="H372" s="2">
        <v>46164.555</v>
      </c>
      <c r="L372">
        <v>112083605</v>
      </c>
      <c r="M372" t="s">
        <v>810</v>
      </c>
      <c r="N372" t="s">
        <v>827</v>
      </c>
      <c r="O372" t="s">
        <v>671</v>
      </c>
      <c r="P372" s="1" t="s">
        <v>668</v>
      </c>
      <c r="Q372">
        <v>1</v>
      </c>
      <c r="R372" t="s">
        <v>670</v>
      </c>
      <c r="S372" t="s">
        <v>671</v>
      </c>
    </row>
    <row r="373" spans="1:19" x14ac:dyDescent="0.25">
      <c r="A373" t="s">
        <v>329</v>
      </c>
      <c r="B373" t="s">
        <v>213</v>
      </c>
      <c r="C373" t="s">
        <v>654</v>
      </c>
      <c r="D373" s="2" t="s">
        <v>650</v>
      </c>
      <c r="E373" t="str">
        <f>_xlfn.XLOOKUP(B373,Laitetyypit!A:A,Laitetyypit!B:B,"ei")</f>
        <v>Thingsee BEAM</v>
      </c>
      <c r="F373" t="s">
        <v>659</v>
      </c>
      <c r="G373" s="3">
        <v>0.95</v>
      </c>
      <c r="H373" s="2">
        <v>46164.53696759259</v>
      </c>
      <c r="L373">
        <v>112083606</v>
      </c>
      <c r="M373" t="s">
        <v>811</v>
      </c>
      <c r="N373" t="s">
        <v>827</v>
      </c>
      <c r="O373" t="s">
        <v>671</v>
      </c>
      <c r="P373" s="1" t="s">
        <v>668</v>
      </c>
      <c r="Q373">
        <v>1</v>
      </c>
      <c r="R373" t="s">
        <v>670</v>
      </c>
      <c r="S373" t="s">
        <v>671</v>
      </c>
    </row>
    <row r="374" spans="1:19" x14ac:dyDescent="0.25">
      <c r="A374" t="s">
        <v>334</v>
      </c>
      <c r="B374" t="s">
        <v>213</v>
      </c>
      <c r="C374" t="s">
        <v>654</v>
      </c>
      <c r="D374" s="2" t="s">
        <v>650</v>
      </c>
      <c r="E374" t="str">
        <f>_xlfn.XLOOKUP(B374,Laitetyypit!A:A,Laitetyypit!B:B,"ei")</f>
        <v>Thingsee BEAM</v>
      </c>
      <c r="F374" t="s">
        <v>659</v>
      </c>
      <c r="G374" s="3">
        <v>0.94</v>
      </c>
      <c r="H374" s="2">
        <v>46164.542870370373</v>
      </c>
      <c r="L374">
        <v>112083619</v>
      </c>
      <c r="M374" t="s">
        <v>812</v>
      </c>
      <c r="N374" t="s">
        <v>827</v>
      </c>
      <c r="O374" t="s">
        <v>730</v>
      </c>
      <c r="P374" s="1" t="s">
        <v>669</v>
      </c>
      <c r="Q374">
        <v>1</v>
      </c>
      <c r="R374" t="s">
        <v>670</v>
      </c>
      <c r="S374" t="s">
        <v>730</v>
      </c>
    </row>
    <row r="375" spans="1:19" x14ac:dyDescent="0.25">
      <c r="A375" t="s">
        <v>335</v>
      </c>
      <c r="B375" t="s">
        <v>213</v>
      </c>
      <c r="C375" t="s">
        <v>654</v>
      </c>
      <c r="D375" s="2" t="s">
        <v>650</v>
      </c>
      <c r="E375" t="str">
        <f>_xlfn.XLOOKUP(B375,Laitetyypit!A:A,Laitetyypit!B:B,"ei")</f>
        <v>Thingsee BEAM</v>
      </c>
      <c r="F375" t="s">
        <v>659</v>
      </c>
      <c r="G375" s="3">
        <v>0</v>
      </c>
      <c r="H375" s="2">
        <v>45913.625347222223</v>
      </c>
      <c r="L375">
        <v>112083620</v>
      </c>
      <c r="M375" t="s">
        <v>813</v>
      </c>
      <c r="N375" t="s">
        <v>827</v>
      </c>
      <c r="O375" t="s">
        <v>678</v>
      </c>
      <c r="P375" s="1" t="s">
        <v>669</v>
      </c>
      <c r="Q375">
        <v>1</v>
      </c>
      <c r="R375" t="s">
        <v>670</v>
      </c>
      <c r="S375" t="s">
        <v>678</v>
      </c>
    </row>
    <row r="376" spans="1:19" x14ac:dyDescent="0.25">
      <c r="A376" t="s">
        <v>381</v>
      </c>
      <c r="B376" t="s">
        <v>213</v>
      </c>
      <c r="C376" t="s">
        <v>654</v>
      </c>
      <c r="D376" s="2" t="s">
        <v>650</v>
      </c>
      <c r="E376" t="str">
        <f>_xlfn.XLOOKUP(B376,Laitetyypit!A:A,Laitetyypit!B:B,"ei")</f>
        <v>Thingsee BEAM</v>
      </c>
      <c r="F376" t="s">
        <v>659</v>
      </c>
      <c r="G376" s="3">
        <v>0.94</v>
      </c>
      <c r="H376" s="2">
        <v>46164.554282407407</v>
      </c>
      <c r="L376">
        <v>112083621</v>
      </c>
      <c r="M376" t="s">
        <v>814</v>
      </c>
      <c r="N376" t="s">
        <v>827</v>
      </c>
      <c r="O376" t="s">
        <v>824</v>
      </c>
      <c r="P376" s="1" t="s">
        <v>669</v>
      </c>
      <c r="Q376">
        <v>1</v>
      </c>
      <c r="R376" t="s">
        <v>670</v>
      </c>
      <c r="S376" t="s">
        <v>824</v>
      </c>
    </row>
    <row r="377" spans="1:19" x14ac:dyDescent="0.25">
      <c r="A377" t="s">
        <v>336</v>
      </c>
      <c r="B377" t="s">
        <v>213</v>
      </c>
      <c r="C377" t="s">
        <v>654</v>
      </c>
      <c r="D377" s="2" t="s">
        <v>650</v>
      </c>
      <c r="E377" t="str">
        <f>_xlfn.XLOOKUP(B377,Laitetyypit!A:A,Laitetyypit!B:B,"ei")</f>
        <v>Thingsee BEAM</v>
      </c>
      <c r="F377" t="s">
        <v>659</v>
      </c>
      <c r="G377" s="3">
        <v>0.94</v>
      </c>
      <c r="H377" s="2">
        <v>46164.540810185186</v>
      </c>
      <c r="L377">
        <v>112083622</v>
      </c>
      <c r="M377" t="s">
        <v>815</v>
      </c>
      <c r="N377" t="s">
        <v>827</v>
      </c>
      <c r="O377" t="s">
        <v>679</v>
      </c>
      <c r="P377" s="1" t="s">
        <v>669</v>
      </c>
      <c r="Q377">
        <v>1</v>
      </c>
      <c r="R377" t="s">
        <v>670</v>
      </c>
      <c r="S377" t="s">
        <v>679</v>
      </c>
    </row>
    <row r="378" spans="1:19" x14ac:dyDescent="0.25">
      <c r="A378" t="s">
        <v>380</v>
      </c>
      <c r="B378" t="s">
        <v>213</v>
      </c>
      <c r="C378" t="s">
        <v>654</v>
      </c>
      <c r="D378" s="2" t="s">
        <v>650</v>
      </c>
      <c r="E378" t="str">
        <f>_xlfn.XLOOKUP(B378,Laitetyypit!A:A,Laitetyypit!B:B,"ei")</f>
        <v>Thingsee BEAM</v>
      </c>
      <c r="F378" t="s">
        <v>659</v>
      </c>
      <c r="G378" s="3">
        <v>0.56999999999999995</v>
      </c>
      <c r="H378" s="2">
        <v>46164.528807870367</v>
      </c>
      <c r="L378">
        <v>112083623</v>
      </c>
      <c r="M378" t="s">
        <v>816</v>
      </c>
      <c r="N378" t="s">
        <v>827</v>
      </c>
      <c r="O378" t="s">
        <v>691</v>
      </c>
      <c r="P378" s="1" t="s">
        <v>669</v>
      </c>
      <c r="Q378">
        <v>1</v>
      </c>
      <c r="R378" t="s">
        <v>670</v>
      </c>
      <c r="S378" t="s">
        <v>691</v>
      </c>
    </row>
    <row r="379" spans="1:19" x14ac:dyDescent="0.25">
      <c r="A379" t="s">
        <v>337</v>
      </c>
      <c r="B379" t="s">
        <v>213</v>
      </c>
      <c r="C379" t="s">
        <v>654</v>
      </c>
      <c r="D379" s="2" t="s">
        <v>650</v>
      </c>
      <c r="E379" t="str">
        <f>_xlfn.XLOOKUP(B379,Laitetyypit!A:A,Laitetyypit!B:B,"ei")</f>
        <v>Thingsee BEAM</v>
      </c>
      <c r="F379" t="s">
        <v>659</v>
      </c>
      <c r="G379" s="3">
        <v>0.94</v>
      </c>
      <c r="H379" s="2">
        <v>46164.553425925929</v>
      </c>
      <c r="L379">
        <v>112083624</v>
      </c>
      <c r="M379" t="s">
        <v>817</v>
      </c>
      <c r="N379" t="s">
        <v>827</v>
      </c>
      <c r="O379" t="s">
        <v>825</v>
      </c>
      <c r="P379" s="1" t="s">
        <v>669</v>
      </c>
      <c r="Q379">
        <v>1</v>
      </c>
      <c r="R379" t="s">
        <v>670</v>
      </c>
      <c r="S379" t="s">
        <v>825</v>
      </c>
    </row>
    <row r="380" spans="1:19" x14ac:dyDescent="0.25">
      <c r="A380" t="s">
        <v>339</v>
      </c>
      <c r="B380" t="s">
        <v>213</v>
      </c>
      <c r="C380" t="s">
        <v>654</v>
      </c>
      <c r="D380" s="2" t="s">
        <v>650</v>
      </c>
      <c r="E380" t="str">
        <f>_xlfn.XLOOKUP(B380,Laitetyypit!A:A,Laitetyypit!B:B,"ei")</f>
        <v>Thingsee BEAM</v>
      </c>
      <c r="F380" t="s">
        <v>659</v>
      </c>
      <c r="G380" s="3">
        <v>0.95</v>
      </c>
      <c r="H380" s="2">
        <v>46164.540081018517</v>
      </c>
      <c r="L380">
        <v>112083625</v>
      </c>
      <c r="M380" t="s">
        <v>818</v>
      </c>
      <c r="N380" t="s">
        <v>827</v>
      </c>
      <c r="O380" t="s">
        <v>671</v>
      </c>
      <c r="P380" s="1" t="s">
        <v>669</v>
      </c>
      <c r="Q380">
        <v>1</v>
      </c>
      <c r="R380" t="s">
        <v>670</v>
      </c>
      <c r="S380" t="s">
        <v>671</v>
      </c>
    </row>
    <row r="381" spans="1:19" x14ac:dyDescent="0.25">
      <c r="A381" t="s">
        <v>338</v>
      </c>
      <c r="B381" t="s">
        <v>213</v>
      </c>
      <c r="C381" t="s">
        <v>654</v>
      </c>
      <c r="D381" s="2" t="s">
        <v>650</v>
      </c>
      <c r="E381" t="str">
        <f>_xlfn.XLOOKUP(B381,Laitetyypit!A:A,Laitetyypit!B:B,"ei")</f>
        <v>Thingsee BEAM</v>
      </c>
      <c r="F381" t="s">
        <v>659</v>
      </c>
      <c r="G381" s="3">
        <v>0.91</v>
      </c>
      <c r="H381" s="2">
        <v>46164.532881944448</v>
      </c>
      <c r="L381">
        <v>112083626</v>
      </c>
      <c r="M381" t="s">
        <v>819</v>
      </c>
      <c r="N381" t="s">
        <v>827</v>
      </c>
      <c r="O381" t="s">
        <v>826</v>
      </c>
      <c r="P381" s="1" t="s">
        <v>669</v>
      </c>
      <c r="Q381">
        <v>2</v>
      </c>
      <c r="R381" t="s">
        <v>670</v>
      </c>
      <c r="S381" t="s">
        <v>826</v>
      </c>
    </row>
    <row r="382" spans="1:19" x14ac:dyDescent="0.25">
      <c r="A382" t="s">
        <v>340</v>
      </c>
      <c r="B382" t="s">
        <v>213</v>
      </c>
      <c r="C382" t="s">
        <v>654</v>
      </c>
      <c r="D382" s="2" t="s">
        <v>650</v>
      </c>
      <c r="E382" t="str">
        <f>_xlfn.XLOOKUP(B382,Laitetyypit!A:A,Laitetyypit!B:B,"ei")</f>
        <v>Thingsee BEAM</v>
      </c>
      <c r="F382" t="s">
        <v>659</v>
      </c>
      <c r="G382" s="3">
        <v>0.92</v>
      </c>
      <c r="H382" s="2">
        <v>46164.552430555559</v>
      </c>
      <c r="L382">
        <v>112083627</v>
      </c>
      <c r="M382" t="s">
        <v>820</v>
      </c>
      <c r="N382" t="s">
        <v>827</v>
      </c>
      <c r="O382" t="s">
        <v>677</v>
      </c>
      <c r="P382" s="1" t="s">
        <v>669</v>
      </c>
      <c r="Q382">
        <v>2</v>
      </c>
      <c r="R382" t="s">
        <v>670</v>
      </c>
      <c r="S382" t="s">
        <v>677</v>
      </c>
    </row>
    <row r="383" spans="1:19" x14ac:dyDescent="0.25">
      <c r="A383" t="s">
        <v>341</v>
      </c>
      <c r="B383" t="s">
        <v>213</v>
      </c>
      <c r="C383" t="s">
        <v>654</v>
      </c>
      <c r="D383" s="2" t="s">
        <v>650</v>
      </c>
      <c r="E383" t="str">
        <f>_xlfn.XLOOKUP(B383,Laitetyypit!A:A,Laitetyypit!B:B,"ei")</f>
        <v>Thingsee BEAM</v>
      </c>
      <c r="F383" t="s">
        <v>659</v>
      </c>
      <c r="G383" s="3">
        <v>0.88</v>
      </c>
      <c r="H383" s="2">
        <v>46164.551168981481</v>
      </c>
      <c r="L383">
        <v>112083628</v>
      </c>
      <c r="M383" t="s">
        <v>821</v>
      </c>
      <c r="N383" t="s">
        <v>827</v>
      </c>
      <c r="O383" t="s">
        <v>760</v>
      </c>
      <c r="P383" s="1" t="s">
        <v>669</v>
      </c>
      <c r="Q383">
        <v>2</v>
      </c>
      <c r="R383" t="s">
        <v>670</v>
      </c>
      <c r="S383" t="s">
        <v>760</v>
      </c>
    </row>
    <row r="384" spans="1:19" x14ac:dyDescent="0.25">
      <c r="A384" t="s">
        <v>307</v>
      </c>
      <c r="B384" t="s">
        <v>367</v>
      </c>
      <c r="C384" t="s">
        <v>654</v>
      </c>
      <c r="D384" s="2" t="s">
        <v>650</v>
      </c>
      <c r="E384" t="str">
        <f>_xlfn.XLOOKUP(B384,Laitetyypit!A:A,Laitetyypit!B:B,"ei")</f>
        <v>Thingsee PRESENCE</v>
      </c>
      <c r="F384" t="s">
        <v>659</v>
      </c>
      <c r="G384" s="3">
        <v>0.96</v>
      </c>
      <c r="H384" s="2">
        <v>46164.555520833332</v>
      </c>
      <c r="L384">
        <v>112110449</v>
      </c>
      <c r="M384" t="s">
        <v>822</v>
      </c>
      <c r="N384" t="s">
        <v>827</v>
      </c>
      <c r="O384" t="s">
        <v>791</v>
      </c>
      <c r="P384" s="1" t="s">
        <v>667</v>
      </c>
      <c r="Q384">
        <v>2</v>
      </c>
      <c r="R384" t="s">
        <v>670</v>
      </c>
      <c r="S384" t="s">
        <v>791</v>
      </c>
    </row>
    <row r="385" spans="1:19" x14ac:dyDescent="0.25">
      <c r="A385" t="s">
        <v>239</v>
      </c>
      <c r="B385" t="s">
        <v>213</v>
      </c>
      <c r="C385" t="s">
        <v>654</v>
      </c>
      <c r="D385" s="2" t="s">
        <v>650</v>
      </c>
      <c r="E385" t="str">
        <f>_xlfn.XLOOKUP(B385,Laitetyypit!A:A,Laitetyypit!B:B,"ei")</f>
        <v>Thingsee BEAM</v>
      </c>
      <c r="F385" t="s">
        <v>659</v>
      </c>
      <c r="G385" s="3">
        <v>0.89</v>
      </c>
      <c r="H385" s="2">
        <v>46164.539131944446</v>
      </c>
      <c r="L385">
        <v>112299488</v>
      </c>
      <c r="M385" t="s">
        <v>618</v>
      </c>
      <c r="N385" t="s">
        <v>827</v>
      </c>
      <c r="O385" t="s">
        <v>671</v>
      </c>
      <c r="P385" s="1" t="s">
        <v>668</v>
      </c>
      <c r="Q385">
        <v>1</v>
      </c>
      <c r="R385" t="s">
        <v>670</v>
      </c>
      <c r="S385" t="s">
        <v>671</v>
      </c>
    </row>
    <row r="386" spans="1:19" x14ac:dyDescent="0.25">
      <c r="A386" t="s">
        <v>253</v>
      </c>
      <c r="B386" t="s">
        <v>213</v>
      </c>
      <c r="C386" t="s">
        <v>654</v>
      </c>
      <c r="D386" s="2" t="s">
        <v>650</v>
      </c>
      <c r="E386" t="str">
        <f>_xlfn.XLOOKUP(B386,Laitetyypit!A:A,Laitetyypit!B:B,"ei")</f>
        <v>Thingsee BEAM</v>
      </c>
      <c r="F386" t="s">
        <v>659</v>
      </c>
      <c r="G386" s="3">
        <v>0.92</v>
      </c>
      <c r="H386" s="2">
        <v>46164.515949074077</v>
      </c>
      <c r="L386">
        <v>112381322</v>
      </c>
      <c r="M386" t="s">
        <v>823</v>
      </c>
      <c r="N386" t="s">
        <v>827</v>
      </c>
      <c r="O386" t="s">
        <v>760</v>
      </c>
      <c r="P386" s="1" t="s">
        <v>668</v>
      </c>
      <c r="Q386">
        <v>2</v>
      </c>
      <c r="R386" t="s">
        <v>670</v>
      </c>
      <c r="S386" t="s">
        <v>760</v>
      </c>
    </row>
    <row r="387" spans="1:19" x14ac:dyDescent="0.25">
      <c r="A387" t="s">
        <v>829</v>
      </c>
      <c r="B387" t="s">
        <v>828</v>
      </c>
      <c r="C387" t="s">
        <v>654</v>
      </c>
      <c r="D387" s="2" t="s">
        <v>650</v>
      </c>
      <c r="E387" t="str">
        <f>_xlfn.XLOOKUP(B387,Laitetyypit!A:A,Laitetyypit!B:B,"ei")</f>
        <v>Thingsee GATEWAY</v>
      </c>
      <c r="F387" t="s">
        <v>659</v>
      </c>
      <c r="H387" s="2">
        <v>46165.515949074077</v>
      </c>
      <c r="M387" t="s">
        <v>835</v>
      </c>
      <c r="N387" t="s">
        <v>827</v>
      </c>
      <c r="P387" s="1" t="s">
        <v>834</v>
      </c>
      <c r="R387" t="s">
        <v>670</v>
      </c>
    </row>
    <row r="388" spans="1:19" x14ac:dyDescent="0.25">
      <c r="A388" t="s">
        <v>830</v>
      </c>
      <c r="B388" t="s">
        <v>828</v>
      </c>
      <c r="C388" t="s">
        <v>654</v>
      </c>
      <c r="D388" s="2" t="s">
        <v>650</v>
      </c>
      <c r="E388" t="str">
        <f>_xlfn.XLOOKUP(B388,Laitetyypit!A:A,Laitetyypit!B:B,"ei")</f>
        <v>Thingsee GATEWAY</v>
      </c>
      <c r="F388" t="s">
        <v>659</v>
      </c>
      <c r="H388" s="2">
        <v>46166.515949074077</v>
      </c>
      <c r="M388" t="s">
        <v>836</v>
      </c>
      <c r="N388" t="s">
        <v>827</v>
      </c>
      <c r="P388" s="1" t="s">
        <v>834</v>
      </c>
      <c r="R388" t="s">
        <v>670</v>
      </c>
    </row>
    <row r="389" spans="1:19" x14ac:dyDescent="0.25">
      <c r="A389" t="s">
        <v>831</v>
      </c>
      <c r="B389" t="s">
        <v>828</v>
      </c>
      <c r="C389" t="s">
        <v>654</v>
      </c>
      <c r="D389" s="2" t="s">
        <v>650</v>
      </c>
      <c r="E389" t="str">
        <f>_xlfn.XLOOKUP(B389,Laitetyypit!A:A,Laitetyypit!B:B,"ei")</f>
        <v>Thingsee GATEWAY</v>
      </c>
      <c r="F389" t="s">
        <v>659</v>
      </c>
      <c r="H389" s="2">
        <v>46167.515949074077</v>
      </c>
      <c r="M389" t="s">
        <v>837</v>
      </c>
      <c r="N389" t="s">
        <v>827</v>
      </c>
      <c r="P389" s="1" t="s">
        <v>834</v>
      </c>
      <c r="R389" t="s">
        <v>670</v>
      </c>
    </row>
    <row r="390" spans="1:19" x14ac:dyDescent="0.25">
      <c r="A390" t="s">
        <v>832</v>
      </c>
      <c r="B390" t="s">
        <v>828</v>
      </c>
      <c r="C390" t="s">
        <v>654</v>
      </c>
      <c r="D390" s="2" t="s">
        <v>650</v>
      </c>
      <c r="E390" t="str">
        <f>_xlfn.XLOOKUP(B390,Laitetyypit!A:A,Laitetyypit!B:B,"ei")</f>
        <v>Thingsee GATEWAY</v>
      </c>
      <c r="F390" t="s">
        <v>659</v>
      </c>
      <c r="H390" s="2">
        <v>46168.515949074077</v>
      </c>
      <c r="M390" t="s">
        <v>838</v>
      </c>
      <c r="N390" t="s">
        <v>827</v>
      </c>
      <c r="P390" s="1" t="s">
        <v>834</v>
      </c>
      <c r="R390" t="s">
        <v>670</v>
      </c>
    </row>
  </sheetData>
  <autoFilter ref="A1:X1" xr:uid="{C3852030-8359-42A1-82E6-07828A6177B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6256-2A17-486F-8488-FEFEE5E36B5B}">
  <dimension ref="A1:B4"/>
  <sheetViews>
    <sheetView workbookViewId="0">
      <selection activeCell="G8" sqref="G8"/>
    </sheetView>
  </sheetViews>
  <sheetFormatPr defaultRowHeight="15" x14ac:dyDescent="0.25"/>
  <sheetData>
    <row r="1" spans="1:2" x14ac:dyDescent="0.25">
      <c r="A1" t="s">
        <v>3</v>
      </c>
      <c r="B1" t="s">
        <v>657</v>
      </c>
    </row>
    <row r="2" spans="1:2" x14ac:dyDescent="0.25">
      <c r="A2" t="s">
        <v>367</v>
      </c>
      <c r="B2" t="s">
        <v>657</v>
      </c>
    </row>
    <row r="3" spans="1:2" x14ac:dyDescent="0.25">
      <c r="A3" t="s">
        <v>213</v>
      </c>
      <c r="B3" t="s">
        <v>658</v>
      </c>
    </row>
    <row r="4" spans="1:2" x14ac:dyDescent="0.25">
      <c r="A4" t="s">
        <v>828</v>
      </c>
      <c r="B4" t="s">
        <v>833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372F1C63E7FD9A4EB51AE2DE17AEE21B" ma:contentTypeVersion="7" ma:contentTypeDescription="Luo uusi asiakirja." ma:contentTypeScope="" ma:versionID="22d84d4897caaa23f2fa40a22b91f621">
  <xsd:schema xmlns:xsd="http://www.w3.org/2001/XMLSchema" xmlns:xs="http://www.w3.org/2001/XMLSchema" xmlns:p="http://schemas.microsoft.com/office/2006/metadata/properties" xmlns:ns2="eda58673-c0be-49d3-9711-5a6511892dac" xmlns:ns3="4e2c9ffa-7fe2-49e5-9081-64fb559ef14c" xmlns:ns4="ffac80cc-db77-48fd-900d-50838d1f0f22" targetNamespace="http://schemas.microsoft.com/office/2006/metadata/properties" ma:root="true" ma:fieldsID="1fed455fe1505465b670dd2a6c358dd5" ns2:_="" ns3:_="" ns4:_="">
    <xsd:import namespace="eda58673-c0be-49d3-9711-5a6511892dac"/>
    <xsd:import namespace="4e2c9ffa-7fe2-49e5-9081-64fb559ef14c"/>
    <xsd:import namespace="ffac80cc-db77-48fd-900d-50838d1f0f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MediaServiceBillingMetadata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58673-c0be-49d3-9711-5a6511892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2c9ffa-7fe2-49e5-9081-64fb559ef14c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Kuvien tunnisteet" ma:readOnly="false" ma:fieldId="{5cf76f15-5ced-4ddc-b409-7134ff3c332f}" ma:taxonomyMulti="true" ma:sspId="dd1a42c4-082a-4923-88be-500faedc92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80cc-db77-48fd-900d-50838d1f0f2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1d40281-9611-4d57-abcd-ecd3e8c3a9f2}" ma:internalName="TaxCatchAll" ma:showField="CatchAllData" ma:web="ffac80cc-db77-48fd-900d-50838d1f0f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2c9ffa-7fe2-49e5-9081-64fb559ef14c">
      <Terms xmlns="http://schemas.microsoft.com/office/infopath/2007/PartnerControls"/>
    </lcf76f155ced4ddcb4097134ff3c332f>
    <TaxCatchAll xmlns="ffac80cc-db77-48fd-900d-50838d1f0f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79C120-0592-4FD7-B23B-E5B1421FF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a58673-c0be-49d3-9711-5a6511892dac"/>
    <ds:schemaRef ds:uri="4e2c9ffa-7fe2-49e5-9081-64fb559ef14c"/>
    <ds:schemaRef ds:uri="ffac80cc-db77-48fd-900d-50838d1f0f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BFCB4-798F-4CC0-A19D-F8760FBA5100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eda58673-c0be-49d3-9711-5a6511892dac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ffac80cc-db77-48fd-900d-50838d1f0f22"/>
    <ds:schemaRef ds:uri="4e2c9ffa-7fe2-49e5-9081-64fb559ef14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6AA61D9-919F-4093-B0C8-B8BA469898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Laitetyypit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Riihiaho Matias</cp:lastModifiedBy>
  <dcterms:created xsi:type="dcterms:W3CDTF">2026-05-22T11:00:39Z</dcterms:created>
  <dcterms:modified xsi:type="dcterms:W3CDTF">2026-06-03T12:51:35Z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0x010100372F1C63E7FD9A4EB51AE2DE17AEE21B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2026-05-22T11:48:05Z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c5db628f-4e0d-42c9-884f-6d9073e32e21</vt:lpwstr>
  </property>
  <property fmtid="{D5CDD505-2E9C-101B-9397-08002B2CF9AE}" pid="8" name="MSIP_Label_defa4170-0d19-0005-0004-bc88714345d2_ActionId">
    <vt:lpwstr>c0be649d-c0c0-48c6-9ea2-65d2a7111fba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